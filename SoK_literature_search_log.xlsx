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tocol" sheetId="1" state="visible" r:id="rId3"/>
    <sheet name="Summary" sheetId="2" state="visible" r:id="rId4"/>
    <sheet name="Search Log" sheetId="3" state="visible" r:id="rId5"/>
    <sheet name="Database Search" sheetId="4" state="visible" r:id="rId6"/>
    <sheet name="DB Candidates" sheetId="5" state="visible" r:id="rId7"/>
    <sheet name="Recall Check" sheetId="6" state="visible" r:id="rId8"/>
    <sheet name="Abstract Screening" sheetId="7" state="visible" r:id="rId9"/>
    <sheet name="Screening" sheetId="8" state="visible" r:id="rId10"/>
    <sheet name="Coding" sheetId="9" state="visible" r:id="rId11"/>
    <sheet name="Double coding" sheetId="10" state="visible" r:id="rId12"/>
  </sheets>
  <definedNames>
    <definedName function="false" hidden="true" localSheetId="7" name="_xlnm._FilterDatabase" vbProcedure="false">Screening!$A$1:$L$54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<sst xmlns="http://schemas.openxmlformats.org/spreadsheetml/2006/main" count="4317" uniqueCount="1720">
  <si>
    <t xml:space="preserve">Item</t>
  </si>
  <si>
    <t xml:space="preserve">Value</t>
  </si>
  <si>
    <t xml:space="preserve">Search date</t>
  </si>
  <si>
    <t xml:space="preserve">2026-10-27</t>
  </si>
  <si>
    <t xml:space="preserve">Search tool</t>
  </si>
  <si>
    <t xml:space="preserve">Claude WebSearch (web index; returns top ~10 results per query)</t>
  </si>
  <si>
    <t xml:space="preserve">Queries run</t>
  </si>
  <si>
    <t xml:space="preserve">Result entries returned (sum)</t>
  </si>
  <si>
    <t xml:space="preserve">Distinct records screened (rows in Screening)</t>
  </si>
  <si>
    <t xml:space="preserve">Included</t>
  </si>
  <si>
    <t xml:space="preserve">  of which academic</t>
  </si>
  <si>
    <t xml:space="preserve">  of which grey literature</t>
  </si>
  <si>
    <t xml:space="preserve">Excluded</t>
  </si>
  <si>
    <t xml:space="preserve">Pending verification</t>
  </si>
  <si>
    <t xml:space="preserve">Inclusion criterion</t>
  </si>
  <si>
    <t xml:space="preserve">Proposes, evaluates or measures an attack, defense, benchmark or incident in which an AI code model or coding agent produces, consumes or acts on software-supply-chain artifacts.</t>
  </si>
  <si>
    <t xml:space="preserve">Exclusions</t>
  </si>
  <si>
    <t xml:space="preserve">(i) code quality/productivity with no security analysis; (ii) general LLM jailbreak/injection work not applied to coding; (iii) model-weight or LLM-framework supply chain; (iv) duplicates. Secondary studies are kept as related work only.</t>
  </si>
  <si>
    <t xml:space="preserve">Screener</t>
  </si>
  <si>
    <t xml:space="preserve">Single screener (Claude) on titles, abstracts and retrieved pages, with every decision reviewed by the author. Screening was not double-screened. Coding reliability: a 17-paper sample was coded by an independent human coder (16/17 agreement with the first coding, kappa = 0.93; see Double coding sheet).</t>
  </si>
  <si>
    <t xml:space="preserve">Limitation 1</t>
  </si>
  <si>
    <t xml:space="preserve">WebSearch returns ~10 web results per query and does not query IEEE Xplore, ACM DL or Scopus databases directly; domain filters were not always honored. This is a targeted search, not an exhaustive database search.</t>
  </si>
  <si>
    <t xml:space="preserve">Limitation 2</t>
  </si>
  <si>
    <t xml:space="preserve">Five queries (Q05, Q13, Q16, Q17, plus Q10) were known-item or snowball searches for specific papers; report them as such.</t>
  </si>
  <si>
    <t xml:space="preserve">Verification pass</t>
  </si>
  <si>
    <t xml:space="preserve">27 Oct 2026: bibliographic details checked against primary pages for 16 records; corrections recorded in the Verification note column.</t>
  </si>
  <si>
    <t xml:space="preserve">Limitation 3</t>
  </si>
  <si>
    <t xml:space="preserve">Records marked 'prior scoping' came from earlier searches in this conversation, before the logged protocol began. Re-run a logged query for them or report them as scoping sources.</t>
  </si>
  <si>
    <t xml:space="preserve">Limitation 4</t>
  </si>
  <si>
    <t xml:space="preserve">Bibliographic fields marked 'confirm' or 'not retrieved' must be checked against the publisher page before citation.</t>
  </si>
  <si>
    <t xml:space="preserve">Limitation 5</t>
  </si>
  <si>
    <t xml:space="preserve">Threat-class labels are provisional (single coder) and must be double-coded on a 20% sample before reporting kappa.</t>
  </si>
  <si>
    <t xml:space="preserve">Expanded re-run (2026-10-27)</t>
  </si>
  <si>
    <t xml:space="preserve">D09 IEEE (465) and D10 ACM (210) with the expanded AI-term group and security clause; plus delta runs D11 ACM (30) and D12 IEEE (61) for 'LMs for code' variants; 165 records screened at abstract stage; see 'Abstract Screening'. Recall on known papers rose from 4/9 to 7/9 (SVEN and the ISSTA 2026 model-editing paper stay known-item additions). Protocol amendment: T7 scoping rule (see note under 'Abstract Screening').</t>
  </si>
  <si>
    <t xml:space="preserve">Final coded corpus (web phase + database re-run)</t>
  </si>
  <si>
    <t xml:space="preserve">  of which peer reviewed</t>
  </si>
  <si>
    <t xml:space="preserve">T7 studies characterized in aggregate (scoping rule not met)</t>
  </si>
  <si>
    <t xml:space="preserve">Coded sources still needing a full-text check</t>
  </si>
  <si>
    <t xml:space="preserve">Metric</t>
  </si>
  <si>
    <t xml:space="preserve">Academic (peer-reviewed + preprints)</t>
  </si>
  <si>
    <t xml:space="preserve">Grey literature</t>
  </si>
  <si>
    <t xml:space="preserve">Note</t>
  </si>
  <si>
    <t xml:space="preserve">Sources covering T1 Package hallucination</t>
  </si>
  <si>
    <t xml:space="preserve">A source can cover several classes</t>
  </si>
  <si>
    <t xml:space="preserve">Sources covering T2 Malicious/vulnerable dependency intake</t>
  </si>
  <si>
    <t xml:space="preserve">Sources covering T3 Repository prompt injection</t>
  </si>
  <si>
    <t xml:space="preserve">Sources covering T4 Forge-metadata injection</t>
  </si>
  <si>
    <t xml:space="preserve">Sources covering T5 Tool/MCP/skill compromise</t>
  </si>
  <si>
    <t xml:space="preserve">Sources covering T6 Secret leakage</t>
  </si>
  <si>
    <t xml:space="preserve">Sources covering T7 Insecure code generation</t>
  </si>
  <si>
    <t xml:space="preserve">Sources covering T8 Training-data poisoning</t>
  </si>
  <si>
    <t xml:space="preserve">Attack papers</t>
  </si>
  <si>
    <t xml:space="preserve">Measurement studies</t>
  </si>
  <si>
    <t xml:space="preserve">Benchmarks</t>
  </si>
  <si>
    <t xml:space="preserve">Defense papers</t>
  </si>
  <si>
    <t xml:space="preserve">User studies</t>
  </si>
  <si>
    <t xml:space="preserve">Total sources</t>
  </si>
  <si>
    <t xml:space="preserve">Peer reviewed</t>
  </si>
  <si>
    <t xml:space="preserve">Evaluated on a tool-using agent (L3+)</t>
  </si>
  <si>
    <t xml:space="preserve">Share of academic sources evaluated on an agent</t>
  </si>
  <si>
    <t xml:space="preserve">Defense papers evaluated on an agent</t>
  </si>
  <si>
    <t xml:space="preserve">Defense papers at maturity E1</t>
  </si>
  <si>
    <t xml:space="preserve">Defense papers at maturity E2</t>
  </si>
  <si>
    <t xml:space="preserve">Defense papers at maturity E3</t>
  </si>
  <si>
    <t xml:space="preserve">Defenses enforced at S2 generation</t>
  </si>
  <si>
    <t xml:space="preserve">Wildcard match on enforcement point</t>
  </si>
  <si>
    <t xml:space="preserve">Defenses enforced at TB2 action plane</t>
  </si>
  <si>
    <t xml:space="preserve">Defenses enforced at S3 dependency intake</t>
  </si>
  <si>
    <t xml:space="preserve">Papers with utility measured</t>
  </si>
  <si>
    <t xml:space="preserve">Papers with adaptive attacker</t>
  </si>
  <si>
    <t xml:space="preserve">Papers releasing artifacts (stated)</t>
  </si>
  <si>
    <t xml:space="preserve">Query ID</t>
  </si>
  <si>
    <t xml:space="preserve">Query string</t>
  </si>
  <si>
    <t xml:space="preserve">Domain filter</t>
  </si>
  <si>
    <t xml:space="preserve">Date run</t>
  </si>
  <si>
    <t xml:space="preserve">Results returned</t>
  </si>
  <si>
    <t xml:space="preserve">Candidate records surfaced</t>
  </si>
  <si>
    <t xml:space="preserve">Q01</t>
  </si>
  <si>
    <t xml:space="preserve">package hallucination code generation LLM</t>
  </si>
  <si>
    <t xml:space="preserve">arxiv.org</t>
  </si>
  <si>
    <t xml:space="preserve">Spracklen et al. (USENIX Sec 2025)</t>
  </si>
  <si>
    <t xml:space="preserve">Q02</t>
  </si>
  <si>
    <t xml:space="preserve">prompt injection coding agent</t>
  </si>
  <si>
    <t xml:space="preserve">QueryIPI; SkillJect</t>
  </si>
  <si>
    <t xml:space="preserve">Q03</t>
  </si>
  <si>
    <t xml:space="preserve">security of code generated by Copilot vulnerabilities</t>
  </si>
  <si>
    <t xml:space="preserve">Pearce et al.; Fu et al. (Copilot in GitHub projects)</t>
  </si>
  <si>
    <t xml:space="preserve">Q04</t>
  </si>
  <si>
    <t xml:space="preserve">poisoning backdoor neural code completion model</t>
  </si>
  <si>
    <t xml:space="preserve">CodeBreaker; Schuster et al.</t>
  </si>
  <si>
    <t xml:space="preserve">Q05</t>
  </si>
  <si>
    <t xml:space="preserve">TrojanPuzzle covertly poisoning code-suggestion models</t>
  </si>
  <si>
    <t xml:space="preserve">arxiv.org, ieeexplore.ieee.org, computer.org</t>
  </si>
  <si>
    <t xml:space="preserve">TrojanPuzzle (known-item search)</t>
  </si>
  <si>
    <t xml:space="preserve">Q06</t>
  </si>
  <si>
    <t xml:space="preserve">MCP tool poisoning attack LLM agents</t>
  </si>
  <si>
    <t xml:space="preserve">MCPTox; OWASP MCP Tool Poisoning (grey)</t>
  </si>
  <si>
    <t xml:space="preserve">Q07</t>
  </si>
  <si>
    <t xml:space="preserve">hardcoded secrets credentials leakage code LLM generated</t>
  </si>
  <si>
    <t xml:space="preserve">No primary paper; vendor blogs pointed to Huang et al. (see Q09)</t>
  </si>
  <si>
    <t xml:space="preserve">Q08</t>
  </si>
  <si>
    <t xml:space="preserve">security benchmark coding agents unsafe actions</t>
  </si>
  <si>
    <t xml:space="preserve">RedCode; SABER; aggregator mentions (IssueTrojanBench, AgentS4D, VulnGym)</t>
  </si>
  <si>
    <t xml:space="preserve">Q09</t>
  </si>
  <si>
    <t xml:space="preserve">neural code completion tools memorize hard-coded credentials</t>
  </si>
  <si>
    <t xml:space="preserve">arxiv.org, dl.acm.org</t>
  </si>
  <si>
    <t xml:space="preserve">Huang et al. (FSE 2024)</t>
  </si>
  <si>
    <t xml:space="preserve">Q10</t>
  </si>
  <si>
    <t xml:space="preserve">IssueTrojanBench indirect prompt injection coding agent issues</t>
  </si>
  <si>
    <t xml:space="preserve">none</t>
  </si>
  <si>
    <t xml:space="preserve">IssueTrojanBench (secondary summaries only)</t>
  </si>
  <si>
    <t xml:space="preserve">Q11</t>
  </si>
  <si>
    <t xml:space="preserve">secure code generation LLM defense hardening</t>
  </si>
  <si>
    <t xml:space="preserve">SVEN; DeepGuard; CoSec; constrained decoding; model editing; RvB</t>
  </si>
  <si>
    <t xml:space="preserve">Q12</t>
  </si>
  <si>
    <t xml:space="preserve">defense prompt injection LLM agents structured queries capabilities</t>
  </si>
  <si>
    <t xml:space="preserve">StruQ; ChatInject; AttackEval</t>
  </si>
  <si>
    <t xml:space="preserve">Q13</t>
  </si>
  <si>
    <t xml:space="preserve">defeating prompt injections by design CaMeL</t>
  </si>
  <si>
    <t xml:space="preserve">CaMeL (known-item search)</t>
  </si>
  <si>
    <t xml:space="preserve">Q14</t>
  </si>
  <si>
    <t xml:space="preserve">slopsquatting hallucinated packages frontier models 2026 study</t>
  </si>
  <si>
    <t xml:space="preserve">Churilov 2026; title of Wang et al. 2026 (see Q17)</t>
  </si>
  <si>
    <t xml:space="preserve">Q15</t>
  </si>
  <si>
    <t xml:space="preserve">vibe coding security vulnerabilities empirical study</t>
  </si>
  <si>
    <t xml:space="preserve">(In)Security of Vibe-Coded Applications; SusVibes</t>
  </si>
  <si>
    <t xml:space="preserve">Q16</t>
  </si>
  <si>
    <t xml:space="preserve">do users write more insecure code with AI assistants</t>
  </si>
  <si>
    <t xml:space="preserve">Perry et al. (CCS 2023) (known-item search)</t>
  </si>
  <si>
    <t xml:space="preserve">Q17</t>
  </si>
  <si>
    <t xml:space="preserve">Correct Code, Vulnerable Dependencies LLM-specified library versions</t>
  </si>
  <si>
    <t xml:space="preserve">Wang et al. 2026 (snowballed from Q14)</t>
  </si>
  <si>
    <t xml:space="preserve">Q18</t>
  </si>
  <si>
    <t xml:space="preserve">security of pull requests authored by AI coding agents</t>
  </si>
  <si>
    <t xml:space="preserve">Security-related AI-generated PRs (EASE 2026)</t>
  </si>
  <si>
    <t xml:space="preserve">Q19</t>
  </si>
  <si>
    <t xml:space="preserve">rules file backdoor AI code editor configuration injection</t>
  </si>
  <si>
    <t xml:space="preserve">Pillar Security Rules File Backdoor (grey)</t>
  </si>
  <si>
    <t xml:space="preserve">Q20</t>
  </si>
  <si>
    <t xml:space="preserve">code LLM security supply chain</t>
  </si>
  <si>
    <t xml:space="preserve">usenix.org, ndss-symposium.org</t>
  </si>
  <si>
    <t xml:space="preserve">Li and Gao (SSCGuard); LLM-repository dependency studies</t>
  </si>
  <si>
    <t xml:space="preserve">Q21</t>
  </si>
  <si>
    <t xml:space="preserve">Clinejection GitHub issue title prompt injection Cline triage</t>
  </si>
  <si>
    <t xml:space="preserve">Clinejection: Khan write-up; CSA note (grey)</t>
  </si>
  <si>
    <t xml:space="preserve">Q22</t>
  </si>
  <si>
    <t xml:space="preserve">sandboxing permission control coding agent tool calls defense evaluation</t>
  </si>
  <si>
    <t xml:space="preserve">CapScope; Pincer; CSA sandbox-escape note (grey)</t>
  </si>
  <si>
    <t xml:space="preserve">Q23</t>
  </si>
  <si>
    <t xml:space="preserve">IDEsaster vulnerabilities AI IDEs research</t>
  </si>
  <si>
    <t xml:space="preserve">IDEsaster (secondary coverage only)</t>
  </si>
  <si>
    <t xml:space="preserve">Q24</t>
  </si>
  <si>
    <t xml:space="preserve">systematic literature review security AI code generation LLM</t>
  </si>
  <si>
    <t xml:space="preserve">Two prior SLRs (related work)</t>
  </si>
  <si>
    <t xml:space="preserve">Total</t>
  </si>
  <si>
    <t xml:space="preserve">Run ID</t>
  </si>
  <si>
    <t xml:space="preserve">Database</t>
  </si>
  <si>
    <t xml:space="preserve">Query</t>
  </si>
  <si>
    <t xml:space="preserve">Fields and years</t>
  </si>
  <si>
    <t xml:space="preserve">Hits</t>
  </si>
  <si>
    <t xml:space="preserve">D01</t>
  </si>
  <si>
    <t xml:space="preserve">IEEE Xplore</t>
  </si>
  <si>
    <t xml:space="preserve">"coding agent" AND ("supply chain" OR dependency OR package OR "prompt injection" OR secret OR credential OR vulnerability OR poisoning OR backdoor)</t>
  </si>
  <si>
    <t xml:space="preserve">All metadata; 2021-2026</t>
  </si>
  <si>
    <t xml:space="preserve">Full string hung the IEEE results page twice; split into six slices, one per AI-coding term</t>
  </si>
  <si>
    <t xml:space="preserve">D02</t>
  </si>
  <si>
    <t xml:space="preserve">"code LLM" AND ("supply chain" OR dependency OR package OR "prompt injection" OR secret OR credential OR vulnerability OR poisoning OR backdoor)</t>
  </si>
  <si>
    <t xml:space="preserve">D03</t>
  </si>
  <si>
    <t xml:space="preserve">"code assistant" AND ("supply chain" OR dependency OR package OR "prompt injection" OR secret OR credential OR vulnerability OR poisoning OR backdoor)</t>
  </si>
  <si>
    <t xml:space="preserve">D04</t>
  </si>
  <si>
    <t xml:space="preserve">"code generation model" AND ("supply chain" OR dependency OR package OR "prompt injection" OR secret OR credential OR vulnerability OR poisoning OR backdoor)</t>
  </si>
  <si>
    <t xml:space="preserve">Many model-based-design (Simulink) false positives</t>
  </si>
  <si>
    <t xml:space="preserve">D05</t>
  </si>
  <si>
    <t xml:space="preserve">"vibe coding" AND ("supply chain" OR dependency OR package OR "prompt injection" OR secret OR credential OR vulnerability OR poisoning OR backdoor)</t>
  </si>
  <si>
    <t xml:space="preserve">D06</t>
  </si>
  <si>
    <t xml:space="preserve">Copilot AND ("supply chain" OR dependency OR package OR "prompt injection" OR secret OR credential OR vulnerability OR poisoning OR backdoor)</t>
  </si>
  <si>
    <t xml:space="preserve">Two pages; many non-coding 'copilot' products</t>
  </si>
  <si>
    <t xml:space="preserve">D07</t>
  </si>
  <si>
    <t xml:space="preserve">ACM DL</t>
  </si>
  <si>
    <t xml:space="preserve">Full §3 string (all six AI terms OR-ed) AND security clause</t>
  </si>
  <si>
    <t xml:space="preserve">All fields incl. full text; 2021-2026</t>
  </si>
  <si>
    <t xml:space="preserve">Not screened: full-text matching is not comparable to IEEE metadata search</t>
  </si>
  <si>
    <t xml:space="preserve">D08</t>
  </si>
  <si>
    <t xml:space="preserve">Abstract:(six AI terms) AND Abstract:(security clause)</t>
  </si>
  <si>
    <t xml:space="preserve">Abstract only; 2021-2026</t>
  </si>
  <si>
    <t xml:space="preserve">Screened run for ACM</t>
  </si>
  <si>
    <t xml:space="preserve">IEEE hits, six slices (sum)</t>
  </si>
  <si>
    <t xml:space="preserve">IEEE within-database duplicates across slices</t>
  </si>
  <si>
    <t xml:space="preserve">Same paper returned by two slices (counted by title)</t>
  </si>
  <si>
    <t xml:space="preserve">IEEE unique</t>
  </si>
  <si>
    <t xml:space="preserve">ACM screened run (D08)</t>
  </si>
  <si>
    <t xml:space="preserve">Duplicates between IEEE and ACM</t>
  </si>
  <si>
    <t xml:space="preserve">Counted by title</t>
  </si>
  <si>
    <t xml:space="preserve">Unique records across both databases</t>
  </si>
  <si>
    <t xml:space="preserve">2026-10-27 (run in the user's Chrome; not signed in to either site)</t>
  </si>
  <si>
    <t xml:space="preserve">Expanded re-run (supersedes D01-D08 for screening)</t>
  </si>
  <si>
    <t xml:space="preserve">D09</t>
  </si>
  <si>
    <t xml:space="preserve">("code LLM" OR "coding agent" OR "code assistant" OR "code assistants" OR "code generation model" OR Copilot OR "vibe coding" OR "code completion" OR "LLM-generated code" OR "AI generated code" OR "language models for code") AND ("supply chain" OR dependency OR package OR "prompt injection" OR secret OR credential OR vulnerability OR poisoning OR backdoor OR security OR secure OR insecure)</t>
  </si>
  <si>
    <t xml:space="preserve">All metadata; 2021-2026; via the IEEE search endpoint used by the results page (100 records x 5 pages)</t>
  </si>
  <si>
    <t xml:space="preserve">Full expanded string in one query; the results page itself hung on this string, the endpoint did not</t>
  </si>
  <si>
    <t xml:space="preserve">D10</t>
  </si>
  <si>
    <t xml:space="preserve">Abstract:("code LLM" OR "coding agent" OR "code assistant" OR "code assistants" OR "code generation model" OR Copilot OR "vibe coding" OR "code completion" OR "LLM-generated code" OR "AI generated code" OR "language models for code") AND Abstract:("supply chain" OR dependency OR package OR "prompt injection" OR secret OR credential OR vulnerability OR poisoning OR backdoor OR security OR secure OR insecure)</t>
  </si>
  <si>
    <t xml:space="preserve">Abstract only; 2021-2026; 50 per page x 5 pages</t>
  </si>
  <si>
    <t xml:space="preserve">ACM accepts the hyphenated 'AI-generated code'</t>
  </si>
  <si>
    <t xml:space="preserve">D11</t>
  </si>
  <si>
    <t xml:space="preserve">Abstract:("LMs for code" OR "large language models for code" OR "language models of code" OR "code language model" OR "code language models") AND Abstract:("supply chain" OR dependency OR package OR "prompt injection" OR secret OR credential OR vulnerability OR poisoning OR backdoor OR security OR secure OR insecure)</t>
  </si>
  <si>
    <t xml:space="preserve">Delta run to close the recall gap (SVEN); 3 new includes; SVEN still not retrieved (its abstract says 'large LMs')</t>
  </si>
  <si>
    <t xml:space="preserve">D12</t>
  </si>
  <si>
    <t xml:space="preserve">("LMs for code" OR "large language models for code" OR "language models of code" OR "code language model" OR "code language models") AND ("supply chain" OR dependency OR package OR "prompt injection" OR secret OR credential OR vulnerability OR poisoning OR backdoor OR security OR secure OR insecure)</t>
  </si>
  <si>
    <t xml:space="preserve">All metadata; 2021-2026; search endpoint</t>
  </si>
  <si>
    <t xml:space="preserve">Delta run; 6 new includes (one shared with D11)</t>
  </si>
  <si>
    <t xml:space="preserve">Records screened (title + abstract) in D09-D12</t>
  </si>
  <si>
    <t xml:space="preserve">Cross-database duplicates among abstract-screened records</t>
  </si>
  <si>
    <t xml:space="preserve">Matched by title/DOI. Duplicates among records excluded at title stage were not counted</t>
  </si>
  <si>
    <t xml:space="preserve">2026-10-27 (user's Chrome, not signed in)</t>
  </si>
  <si>
    <t xml:space="preserve">ID</t>
  </si>
  <si>
    <t xml:space="preserve">Title</t>
  </si>
  <si>
    <t xml:space="preserve">Venue</t>
  </si>
  <si>
    <t xml:space="preserve">Found by</t>
  </si>
  <si>
    <t xml:space="preserve">Title-stage decision</t>
  </si>
  <si>
    <t xml:space="preserve">Provisional class / note</t>
  </si>
  <si>
    <t xml:space="preserve">I01</t>
  </si>
  <si>
    <t xml:space="preserve">Static Analysis of Vulnerabilities That AI-Based Code Assistants May Introduce</t>
  </si>
  <si>
    <t xml:space="preserve">ISADES 2026</t>
  </si>
  <si>
    <t xml:space="preserve">D01, D05</t>
  </si>
  <si>
    <t xml:space="preserve">Include for abstract screening</t>
  </si>
  <si>
    <t xml:space="preserve">T7</t>
  </si>
  <si>
    <t xml:space="preserve">I02</t>
  </si>
  <si>
    <t xml:space="preserve">ShadowCode: Toward (Automatic) External Prompt Injection Attack Against Code LLMs</t>
  </si>
  <si>
    <t xml:space="preserve">IEEE TDSC 2026</t>
  </si>
  <si>
    <t xml:space="preserve">T3, T5</t>
  </si>
  <si>
    <t xml:space="preserve">I03</t>
  </si>
  <si>
    <t xml:space="preserve">Decoding Secret Memorization in Code LLMs Through Token-Level Characterization</t>
  </si>
  <si>
    <t xml:space="preserve">ICSE 2025</t>
  </si>
  <si>
    <t xml:space="preserve">D02, D08</t>
  </si>
  <si>
    <t xml:space="preserve">T6</t>
  </si>
  <si>
    <t xml:space="preserve">I04</t>
  </si>
  <si>
    <t xml:space="preserve">PwnPilot: Reflections on Trusting Trust in the Age of LLMs and AI Code Assistants</t>
  </si>
  <si>
    <t xml:space="preserve">CSCE 2023</t>
  </si>
  <si>
    <t xml:space="preserve">D03, D06</t>
  </si>
  <si>
    <t xml:space="preserve">T8</t>
  </si>
  <si>
    <t xml:space="preserve">I05</t>
  </si>
  <si>
    <t xml:space="preserve">A Disguised Wolf Is More Harmful Than a Toothless Tiger: Adaptive and Malicious Code Injection Backdoor Attack</t>
  </si>
  <si>
    <t xml:space="preserve">IEEE TIFS 2025</t>
  </si>
  <si>
    <t xml:space="preserve">I06</t>
  </si>
  <si>
    <t xml:space="preserve">Towards Secure Code Generation With LLMs: A Study on Common Weakness Enumeration</t>
  </si>
  <si>
    <t xml:space="preserve">IEEE TSE 2025</t>
  </si>
  <si>
    <t xml:space="preserve">I07</t>
  </si>
  <si>
    <t xml:space="preserve">A Framework for Enhancing Code Security in LLMs via Hierarchical Security-Context RAG</t>
  </si>
  <si>
    <t xml:space="preserve">ICEE 2026</t>
  </si>
  <si>
    <t xml:space="preserve">T7 defense</t>
  </si>
  <si>
    <t xml:space="preserve">I08</t>
  </si>
  <si>
    <t xml:space="preserve">Durinn: Scaling Vibe Coding Auditing</t>
  </si>
  <si>
    <t xml:space="preserve">IEEE BigData 2025</t>
  </si>
  <si>
    <t xml:space="preserve">I09</t>
  </si>
  <si>
    <t xml:space="preserve">Beyond Correctness: Measuring Hallucination Impact in AI-Assisted Development Workflows</t>
  </si>
  <si>
    <t xml:space="preserve">ICIETSD 2026</t>
  </si>
  <si>
    <t xml:space="preserve">T1? (check)</t>
  </si>
  <si>
    <t xml:space="preserve">I10</t>
  </si>
  <si>
    <t xml:space="preserve">The Software Librarian: Python Package Insights for Copilot</t>
  </si>
  <si>
    <t xml:space="preserve">ICSE Companion 2025</t>
  </si>
  <si>
    <t xml:space="preserve">T1, T2</t>
  </si>
  <si>
    <t xml:space="preserve">I11</t>
  </si>
  <si>
    <t xml:space="preserve">Artificially Insecure: Examining GitHub Copilot's AI-based Vulnerability Prevention System</t>
  </si>
  <si>
    <t xml:space="preserve">SVCC 2025</t>
  </si>
  <si>
    <t xml:space="preserve">T7 defense evaluation</t>
  </si>
  <si>
    <t xml:space="preserve">I12</t>
  </si>
  <si>
    <t xml:space="preserve">Poisoned ChatGPT Finds Work for Idle Hands: Developers' Coding Practices with Insecure Suggestions from Poisoned AI Models</t>
  </si>
  <si>
    <t xml:space="preserve">IEEE S&amp;P 2024</t>
  </si>
  <si>
    <t xml:space="preserve">I13</t>
  </si>
  <si>
    <t xml:space="preserve">Assessing the Security of GitHub Copilot's Generated Code - A Targeted Replication Study</t>
  </si>
  <si>
    <t xml:space="preserve">SANER 2024</t>
  </si>
  <si>
    <t xml:space="preserve">I14</t>
  </si>
  <si>
    <t xml:space="preserve">How Developers Respond to Insecure AI Code Suggestions under Poisoning Attacks</t>
  </si>
  <si>
    <t xml:space="preserve">IEEE TSE 2026 (early access)</t>
  </si>
  <si>
    <t xml:space="preserve">I15</t>
  </si>
  <si>
    <t xml:space="preserve">CodeLMSec Benchmark: Systematically Evaluating and Finding Security Vulnerabilities in Black-Box Code Language Models</t>
  </si>
  <si>
    <t xml:space="preserve">SaTML 2024</t>
  </si>
  <si>
    <t xml:space="preserve">T7 benchmark</t>
  </si>
  <si>
    <t xml:space="preserve">I16</t>
  </si>
  <si>
    <t xml:space="preserve">Securing AI Code Generation Through Automated Pattern-Based Patching</t>
  </si>
  <si>
    <t xml:space="preserve">DSN-W 2025</t>
  </si>
  <si>
    <t xml:space="preserve">I17</t>
  </si>
  <si>
    <t xml:space="preserve">IDE-Sanitizer: A Prompt-Injection Cryptographic Context Guard for IDE Copilots</t>
  </si>
  <si>
    <t xml:space="preserve">SmartNets 2026</t>
  </si>
  <si>
    <t xml:space="preserve">T3 defense</t>
  </si>
  <si>
    <t xml:space="preserve">I18</t>
  </si>
  <si>
    <t xml:space="preserve">Exploring Security Risks and Mitigation Strategies in AI Code Helpers</t>
  </si>
  <si>
    <t xml:space="preserve">LISAT 2024</t>
  </si>
  <si>
    <t xml:space="preserve">I19</t>
  </si>
  <si>
    <t xml:space="preserve">A User-Centered Security Evaluation of Copilot</t>
  </si>
  <si>
    <t xml:space="preserve">ICSE 2024</t>
  </si>
  <si>
    <t xml:space="preserve">D06, D08</t>
  </si>
  <si>
    <t xml:space="preserve">T7 user study</t>
  </si>
  <si>
    <t xml:space="preserve">I20</t>
  </si>
  <si>
    <t xml:space="preserve">How Secure is AI-based Coding?: A Security Analysis Using STRIDE and Data Flow Diagrams</t>
  </si>
  <si>
    <t xml:space="preserve">VCC 2023</t>
  </si>
  <si>
    <t xml:space="preserve">Threat model</t>
  </si>
  <si>
    <t xml:space="preserve">I21</t>
  </si>
  <si>
    <t xml:space="preserve">Securing AI Code Generation - A Prompt Rectification Approach for Mitigating Cyber Risks</t>
  </si>
  <si>
    <t xml:space="preserve">TrustCom 2025</t>
  </si>
  <si>
    <t xml:space="preserve">I22</t>
  </si>
  <si>
    <t xml:space="preserve">Quality In, Quality Out: Investigating Training Data's Role in AI Code Generation</t>
  </si>
  <si>
    <t xml:space="preserve">ICPC 2025</t>
  </si>
  <si>
    <t xml:space="preserve">T7 (check)</t>
  </si>
  <si>
    <t xml:space="preserve">I23</t>
  </si>
  <si>
    <t xml:space="preserve">Make a Feint to the East While Attacking in the West: Blinding LLM-Based Code Auditors with Flashboom Attacks</t>
  </si>
  <si>
    <t xml:space="preserve">IEEE S&amp;P 2025</t>
  </si>
  <si>
    <t xml:space="preserve">S5 review evasion (check)</t>
  </si>
  <si>
    <t xml:space="preserve">I24</t>
  </si>
  <si>
    <t xml:space="preserve">Finding Trojan Triggers in Code LLMs: An Occlusion-Based Human-in-the-Loop Approach</t>
  </si>
  <si>
    <t xml:space="preserve">CAIN 2025</t>
  </si>
  <si>
    <t xml:space="preserve">T8 defense</t>
  </si>
  <si>
    <t xml:space="preserve">I25</t>
  </si>
  <si>
    <t xml:space="preserve">Fine Tuning Large Language Model for Secure Code Generation</t>
  </si>
  <si>
    <t xml:space="preserve">FORGE 2024</t>
  </si>
  <si>
    <t xml:space="preserve">I26</t>
  </si>
  <si>
    <t xml:space="preserve">Identifying and Mitigating API Misuse in Large Language Models</t>
  </si>
  <si>
    <t xml:space="preserve">IEEE TSE 2026</t>
  </si>
  <si>
    <t xml:space="preserve">I27</t>
  </si>
  <si>
    <t xml:space="preserve">Comparative Analysis of Security Vulnerabilities in AI-Generated Versus Human-Written Python Code</t>
  </si>
  <si>
    <t xml:space="preserve">SIST 2026</t>
  </si>
  <si>
    <t xml:space="preserve">I28</t>
  </si>
  <si>
    <t xml:space="preserve">Analyzing the impact of prompt engineering on efficiency, code quality, and security in CRUD application development</t>
  </si>
  <si>
    <t xml:space="preserve">ICARC 2025</t>
  </si>
  <si>
    <t xml:space="preserve">I29</t>
  </si>
  <si>
    <t xml:space="preserve">The Impact of Security Mindset on the Use of AI Assistants in Computing Education</t>
  </si>
  <si>
    <t xml:space="preserve">IEEE Trans. Education 2025</t>
  </si>
  <si>
    <t xml:space="preserve">I30</t>
  </si>
  <si>
    <t xml:space="preserve">Secure Context Cache: Token-Efficient and Least-Privilege Shared Memory for Enterprise Developer Agents</t>
  </si>
  <si>
    <t xml:space="preserve">ICERA 2026</t>
  </si>
  <si>
    <t xml:space="preserve">TB2 (check)</t>
  </si>
  <si>
    <t xml:space="preserve">A01</t>
  </si>
  <si>
    <t xml:space="preserve">Red-Teaming Coding Agents from a Tool-Invocation Perspective: An Empirical Security Assessment</t>
  </si>
  <si>
    <t xml:space="preserve">PACMSE (ISSTA) 2026</t>
  </si>
  <si>
    <t xml:space="preserve">T5; same authors as QueryIPI (P05): check if peer-reviewed version</t>
  </si>
  <si>
    <t xml:space="preserve">A02</t>
  </si>
  <si>
    <t xml:space="preserve">SecurityEval dataset: mining vulnerability examples to evaluate ML-based code generation techniques</t>
  </si>
  <si>
    <t xml:space="preserve">MSR4P&amp;S 2022</t>
  </si>
  <si>
    <t xml:space="preserve">A03</t>
  </si>
  <si>
    <t xml:space="preserve">CoSec: On-the-Fly Security Hardening of Code LLMs via Supervised Co-decoding</t>
  </si>
  <si>
    <t xml:space="preserve">ISSTA 2024</t>
  </si>
  <si>
    <t xml:space="preserve">T7 defense; resolves pending record P19</t>
  </si>
  <si>
    <t xml:space="preserve">A04</t>
  </si>
  <si>
    <t xml:space="preserve">In-Context Vulnerability Propagation in LLMs</t>
  </si>
  <si>
    <t xml:space="preserve">SACMAT 2025 (WIP)</t>
  </si>
  <si>
    <t xml:space="preserve">A05</t>
  </si>
  <si>
    <t xml:space="preserve">Adversarial Bug Reports as a Security Risk in Language Model-Based Automated Program Repair</t>
  </si>
  <si>
    <t xml:space="preserve">MSR 2026</t>
  </si>
  <si>
    <t xml:space="preserve">T4 (issue-borne attack)</t>
  </si>
  <si>
    <t xml:space="preserve">A06</t>
  </si>
  <si>
    <t xml:space="preserve">CoSEFA: An LLM-Based Programming Assistant for Secure Code Generation via Supervised Co-Decoding</t>
  </si>
  <si>
    <t xml:space="preserve">FSE Companion 2025</t>
  </si>
  <si>
    <t xml:space="preserve">A07</t>
  </si>
  <si>
    <t xml:space="preserve">Impossible to Hide Secret: Uncovering Security and Privacy Issues in LLM-Native IDEs</t>
  </si>
  <si>
    <t xml:space="preserve">ASE 2026</t>
  </si>
  <si>
    <t xml:space="preserve">T6, T3</t>
  </si>
  <si>
    <t xml:space="preserve">A08</t>
  </si>
  <si>
    <t xml:space="preserve">Using AI Assistants in Software Development: A Qualitative Study on Security Practices and Concerns</t>
  </si>
  <si>
    <t xml:space="preserve">CCS 2024</t>
  </si>
  <si>
    <t xml:space="preserve">A09</t>
  </si>
  <si>
    <t xml:space="preserve">My Code Is Less Secure with Gen AI: Surveying Developers' Perceptions of the Impact of Code Generation Tools on Security</t>
  </si>
  <si>
    <t xml:space="preserve">SAC 2025</t>
  </si>
  <si>
    <t xml:space="preserve">T7 survey</t>
  </si>
  <si>
    <t xml:space="preserve">A10</t>
  </si>
  <si>
    <t xml:space="preserve">Reliability of AI Bots Footprints in GitHub Actions CI/CD Workflows</t>
  </si>
  <si>
    <t xml:space="preserve">S5 CI (check)</t>
  </si>
  <si>
    <t xml:space="preserve">A11</t>
  </si>
  <si>
    <t xml:space="preserve">Trustworthiness of Vibe Coding from the NIST AI RMF Perspective</t>
  </si>
  <si>
    <t xml:space="preserve">ACMSE 2026</t>
  </si>
  <si>
    <t xml:space="preserve">Position (check)</t>
  </si>
  <si>
    <t xml:space="preserve">R01</t>
  </si>
  <si>
    <t xml:space="preserve">SOK: Exploring Hallucinations and Security Risks in AI-Assisted Software Development with Insights for LLM Deployment</t>
  </si>
  <si>
    <t xml:space="preserve">IDSTA 2025</t>
  </si>
  <si>
    <t xml:space="preserve">Related work (secondary study)</t>
  </si>
  <si>
    <t xml:space="preserve">Closest competing SoK: read and cite</t>
  </si>
  <si>
    <t xml:space="preserve">R02</t>
  </si>
  <si>
    <t xml:space="preserve">State of the Art of the Security of Code Generated by LLMs: A Systematic Literature Review</t>
  </si>
  <si>
    <t xml:space="preserve">CONISOFT 2024</t>
  </si>
  <si>
    <t xml:space="preserve">K01</t>
  </si>
  <si>
    <t xml:space="preserve">TrojanPuzzle: Covertly Poisoning Code-Suggestion Models</t>
  </si>
  <si>
    <t xml:space="preserve">Already in corpus (P15)</t>
  </si>
  <si>
    <t xml:space="preserve">Gives full author list</t>
  </si>
  <si>
    <t xml:space="preserve">K02</t>
  </si>
  <si>
    <t xml:space="preserve">Authority Is Not a String (CapScope)</t>
  </si>
  <si>
    <t xml:space="preserve">LMPL 2026</t>
  </si>
  <si>
    <t xml:space="preserve">Already in corpus (P26)</t>
  </si>
  <si>
    <t xml:space="preserve">K03</t>
  </si>
  <si>
    <t xml:space="preserve">Asleep at the Keyboard? (CACM 2025 version)</t>
  </si>
  <si>
    <t xml:space="preserve">CACM 2025</t>
  </si>
  <si>
    <t xml:space="preserve">Already in corpus (P10)</t>
  </si>
  <si>
    <t xml:space="preserve">New candidates for abstract screening</t>
  </si>
  <si>
    <t xml:space="preserve">All other unique records were excluded at title stage (non-coding 'copilot' products, education, productivity, model-based design, general LLM security).</t>
  </si>
  <si>
    <t xml:space="preserve">Known corpus paper indexed in the database</t>
  </si>
  <si>
    <t xml:space="preserve">Retrieved by the §3 string?</t>
  </si>
  <si>
    <t xml:space="preserve">Likely reason if missed</t>
  </si>
  <si>
    <t xml:space="preserve">TrojanPuzzle (IEEE S&amp;P 2024)</t>
  </si>
  <si>
    <t xml:space="preserve">Yes</t>
  </si>
  <si>
    <t xml:space="preserve">Asleep at the Keyboard (IEEE S&amp;P 2022)</t>
  </si>
  <si>
    <t xml:space="preserve">Found by D09 (E163)</t>
  </si>
  <si>
    <t xml:space="preserve">Asleep at the Keyboard (CACM 2025 version)</t>
  </si>
  <si>
    <t xml:space="preserve">CoSec (ISSTA 2024)</t>
  </si>
  <si>
    <t xml:space="preserve">CapScope (LMPL 2026)</t>
  </si>
  <si>
    <t xml:space="preserve">Do Users Write More Insecure Code with AI Assistants? (CCS 2023)</t>
  </si>
  <si>
    <t xml:space="preserve">Found by D10 (A32) after adding 'code assistants'</t>
  </si>
  <si>
    <t xml:space="preserve">SVEN (CCS 2023)</t>
  </si>
  <si>
    <t xml:space="preserve">No</t>
  </si>
  <si>
    <t xml:space="preserve">Still missed after the D11/D12 delta runs: the abstract says 'large LMs'. Retained as a known-item addition (snowballing)</t>
  </si>
  <si>
    <t xml:space="preserve">Your Code Secret Belongs to Me (FSE 2024)</t>
  </si>
  <si>
    <t xml:space="preserve">Found by D10 (A66) after adding 'code completion'</t>
  </si>
  <si>
    <t xml:space="preserve">Model editing for secure code (ISSTA 2026)</t>
  </si>
  <si>
    <t xml:space="preserve">Still missed by D10-D12; ISSTA 2026 proceedings may not be fully indexed yet. Retained as a known-item addition</t>
  </si>
  <si>
    <t xml:space="preserve">Recall on known papers</t>
  </si>
  <si>
    <t xml:space="preserve">After the expanded re-run (D09-D12): 7 of 9. Before: 4 of 9. The two misses are added by known-item search, as recommended by Kitchenham.</t>
  </si>
  <si>
    <t xml:space="preserve">Database run</t>
  </si>
  <si>
    <t xml:space="preserve">Year</t>
  </si>
  <si>
    <t xml:space="preserve">DOI</t>
  </si>
  <si>
    <t xml:space="preserve">Abstract-stage decision</t>
  </si>
  <si>
    <t xml:space="preserve">Reason</t>
  </si>
  <si>
    <t xml:space="preserve">Provisional threat</t>
  </si>
  <si>
    <t xml:space="preserve">Corpus outcome</t>
  </si>
  <si>
    <t xml:space="preserve">E0</t>
  </si>
  <si>
    <t xml:space="preserve">D09 (IEEE)</t>
  </si>
  <si>
    <t xml:space="preserve">Security Vulnerabilities in AI-Generated JavaScript: A Comparative Study of Large Language Models</t>
  </si>
  <si>
    <t xml:space="preserve">IEEE CSR</t>
  </si>
  <si>
    <t xml:space="preserve">10.1109/CSR64739.2025.11130176</t>
  </si>
  <si>
    <t xml:space="preserve">Include</t>
  </si>
  <si>
    <t xml:space="preserve">Measurement of insecure generated code</t>
  </si>
  <si>
    <t xml:space="preserve">T7 aggregate (scoping rule not met)</t>
  </si>
  <si>
    <t xml:space="preserve">E1</t>
  </si>
  <si>
    <t xml:space="preserve">Security and Quality in LLM-Generated Code: A Multi-Language, Multi-Model Analysis</t>
  </si>
  <si>
    <t xml:space="preserve">IEEE TDSC</t>
  </si>
  <si>
    <t xml:space="preserve">10.1109/TDSC.2026.3672745</t>
  </si>
  <si>
    <t xml:space="preserve">E461 is a magazine summary of this paper</t>
  </si>
  <si>
    <t xml:space="preserve">Coded (primary study)</t>
  </si>
  <si>
    <t xml:space="preserve">E2</t>
  </si>
  <si>
    <t xml:space="preserve">Poisoned ChatGPT Finds Work for Idle Hands: Exploring Developers' Coding Practices with Insecure Suggestions from Poisoned AI Models</t>
  </si>
  <si>
    <t xml:space="preserve">IEEE S&amp;P</t>
  </si>
  <si>
    <t xml:space="preserve">10.1109/SP54263.2024.00046</t>
  </si>
  <si>
    <t xml:space="preserve">User study of poisoned code assistants</t>
  </si>
  <si>
    <t xml:space="preserve">E4</t>
  </si>
  <si>
    <t xml:space="preserve">Exploring the Security Landscape of AI Generated Code: A Comprehensive Study</t>
  </si>
  <si>
    <t xml:space="preserve">QPAIN</t>
  </si>
  <si>
    <t xml:space="preserve">10.1109/QPAIN69676.2026.11546237</t>
  </si>
  <si>
    <t xml:space="preserve">Abstract truncated in database; kept as T7 measurement</t>
  </si>
  <si>
    <t xml:space="preserve">Resolved from full abstract</t>
  </si>
  <si>
    <t xml:space="preserve">E5</t>
  </si>
  <si>
    <t xml:space="preserve">Navigating (in)Security of AI-Generated Code</t>
  </si>
  <si>
    <t xml:space="preserve">10.1109/CSR61664.2024.10679468</t>
  </si>
  <si>
    <t xml:space="preserve">E6</t>
  </si>
  <si>
    <t xml:space="preserve">CWEval: Outcome-driven Evaluation on Functionality and Security of LLM Code Generation</t>
  </si>
  <si>
    <t xml:space="preserve">LLM4Code @ ICSE</t>
  </si>
  <si>
    <t xml:space="preserve">10.1109/LLM4Code66737.2025.00009</t>
  </si>
  <si>
    <t xml:space="preserve">Security benchmark</t>
  </si>
  <si>
    <t xml:space="preserve">E7</t>
  </si>
  <si>
    <t xml:space="preserve">Research on Security Vulnerability Patterns of Code Generated by Large Language Models</t>
  </si>
  <si>
    <t xml:space="preserve">ECIS</t>
  </si>
  <si>
    <t xml:space="preserve">10.1109/ECIS69634.2026.11604380</t>
  </si>
  <si>
    <t xml:space="preserve">Abstract describes a review that summarizes methods and tools</t>
  </si>
  <si>
    <t xml:space="preserve">E8</t>
  </si>
  <si>
    <t xml:space="preserve">SIST</t>
  </si>
  <si>
    <t xml:space="preserve">10.1109/SIST61674.2026.11596372</t>
  </si>
  <si>
    <t xml:space="preserve">E9</t>
  </si>
  <si>
    <t xml:space="preserve">SANER</t>
  </si>
  <si>
    <t xml:space="preserve">10.1109/SANER60148.2024.00051</t>
  </si>
  <si>
    <t xml:space="preserve">Replication of Pearce et al.</t>
  </si>
  <si>
    <t xml:space="preserve">E10</t>
  </si>
  <si>
    <t xml:space="preserve">Poisoning Programs by Un-Repairing Code: Security Concerns of AI-generated Code</t>
  </si>
  <si>
    <t xml:space="preserve">ISSRE Workshops</t>
  </si>
  <si>
    <t xml:space="preserve">10.1109/ISSREW60843.2023.00060</t>
  </si>
  <si>
    <t xml:space="preserve">Training-data poisoning attack</t>
  </si>
  <si>
    <t xml:space="preserve">E11</t>
  </si>
  <si>
    <t xml:space="preserve">Security-Related Code Hallucinations in Large Language Models: A Systematic Literature Review</t>
  </si>
  <si>
    <t xml:space="preserve">ISSATK</t>
  </si>
  <si>
    <t xml:space="preserve">10.1109/ISSATK69667.2026.11566869</t>
  </si>
  <si>
    <t xml:space="preserve">Secondary study</t>
  </si>
  <si>
    <t xml:space="preserve">T1, T7</t>
  </si>
  <si>
    <t xml:space="preserve">E13</t>
  </si>
  <si>
    <t xml:space="preserve">PwnPilot: Reflections on Trusting Trust in the Age of Large Language Models and AI Code Assistants</t>
  </si>
  <si>
    <t xml:space="preserve">CSCE</t>
  </si>
  <si>
    <t xml:space="preserve">10.1109/CSCE60160.2023.00396</t>
  </si>
  <si>
    <t xml:space="preserve">Targeted survey 2019-2023</t>
  </si>
  <si>
    <t xml:space="preserve">-</t>
  </si>
  <si>
    <t xml:space="preserve">E15</t>
  </si>
  <si>
    <t xml:space="preserve">Vulnerability Handling of AI-Generated Code - Existing Solutions and Open Challenges</t>
  </si>
  <si>
    <t xml:space="preserve">AIxSET</t>
  </si>
  <si>
    <t xml:space="preserve">10.1109/AIxSET62544.2024.00026</t>
  </si>
  <si>
    <t xml:space="preserve">Overview of existing solutions</t>
  </si>
  <si>
    <t xml:space="preserve">E16</t>
  </si>
  <si>
    <t xml:space="preserve">Securing LLM-Generated Code with Iterative Static Analysis and LLM Review</t>
  </si>
  <si>
    <t xml:space="preserve">CIACON</t>
  </si>
  <si>
    <t xml:space="preserve">10.1109/CIACON70148.2026.11688692</t>
  </si>
  <si>
    <t xml:space="preserve">Defense (generation-time repair loop)</t>
  </si>
  <si>
    <t xml:space="preserve">E17</t>
  </si>
  <si>
    <t xml:space="preserve">A Disguised Wolf Is More Harmful Than a Toothless Tiger: Adaptive and Malicious Code Injection Backdoor Attack Leveraging User Behavior as Triggers</t>
  </si>
  <si>
    <t xml:space="preserve">IEEE TIFS</t>
  </si>
  <si>
    <t xml:space="preserve">10.1109/TIFS.2025.3620146</t>
  </si>
  <si>
    <t xml:space="preserve">Backdoor attack on code LLMs</t>
  </si>
  <si>
    <t xml:space="preserve">E18</t>
  </si>
  <si>
    <t xml:space="preserve">SVCC</t>
  </si>
  <si>
    <t xml:space="preserve">10.1109/SVCC65277.2025.11133629</t>
  </si>
  <si>
    <t xml:space="preserve">Evaluates a deployed defense</t>
  </si>
  <si>
    <t xml:space="preserve">E20</t>
  </si>
  <si>
    <t xml:space="preserve">IEEE SaTML</t>
  </si>
  <si>
    <t xml:space="preserve">10.1109/SaTML59370.2024.00040</t>
  </si>
  <si>
    <t xml:space="preserve">E21</t>
  </si>
  <si>
    <t xml:space="preserve">How Developers Respond to Insecure AI Code Suggestions under Poisoning Attacks: An Empirical Study of Interface-Level Countermeasures</t>
  </si>
  <si>
    <t xml:space="preserve">IEEE TSE</t>
  </si>
  <si>
    <t xml:space="preserve">10.1109/TSE.2026.3731966</t>
  </si>
  <si>
    <t xml:space="preserve">User study; interface defenses against poisoning</t>
  </si>
  <si>
    <t xml:space="preserve">E22</t>
  </si>
  <si>
    <t xml:space="preserve">HalluGuard: A Multi-Signal Detection Framework for Hallucinations in LLM-Generated Code</t>
  </si>
  <si>
    <t xml:space="preserve">AIIoT</t>
  </si>
  <si>
    <t xml:space="preserve">10.1109/AIIoT68874.2026.11569641</t>
  </si>
  <si>
    <t xml:space="preserve">Full abstract: self-referential SDK imports in 16% of Claude samples; security-relevant</t>
  </si>
  <si>
    <t xml:space="preserve">E25</t>
  </si>
  <si>
    <t xml:space="preserve">ISADES</t>
  </si>
  <si>
    <t xml:space="preserve">10.1109/ISADES69945.2026.11608062</t>
  </si>
  <si>
    <t xml:space="preserve">Measurement (vibe-coded web apps)</t>
  </si>
  <si>
    <t xml:space="preserve">E26</t>
  </si>
  <si>
    <t xml:space="preserve">Security Degradation in Iterative AI Code Generation: A Systematic Analysis of the Paradox</t>
  </si>
  <si>
    <t xml:space="preserve">IEEE ISTAS</t>
  </si>
  <si>
    <t xml:space="preserve">10.1109/ISTAS65609.2025.11269659</t>
  </si>
  <si>
    <t xml:space="preserve">Measurement across feedback iterations</t>
  </si>
  <si>
    <t xml:space="preserve">E30</t>
  </si>
  <si>
    <t xml:space="preserve">DSN Workshops</t>
  </si>
  <si>
    <t xml:space="preserve">10.1109/DSN-W65791.2025.00077</t>
  </si>
  <si>
    <t xml:space="preserve">Defense (post-generation patching)</t>
  </si>
  <si>
    <t xml:space="preserve">E31</t>
  </si>
  <si>
    <t xml:space="preserve">From Theory to Practice: Code Generation Using LLMs for CAPEC and CWE Frameworks</t>
  </si>
  <si>
    <t xml:space="preserve">10.1109/LLM4Code66737.2025.00022</t>
  </si>
  <si>
    <t xml:space="preserve">Exclude</t>
  </si>
  <si>
    <t xml:space="preserve">LLM used as a security tool; no threat to or from the assistant</t>
  </si>
  <si>
    <t xml:space="preserve">Generates vulnerability datasets</t>
  </si>
  <si>
    <t xml:space="preserve">E32</t>
  </si>
  <si>
    <t xml:space="preserve">Human-Written vs. AI-Generated Code: A Large-Scale Study of Defects, Vulnerabilities, and Complexity</t>
  </si>
  <si>
    <t xml:space="preserve">ISSRE</t>
  </si>
  <si>
    <t xml:space="preserve">10.1109/ISSRE66568.2025.00035</t>
  </si>
  <si>
    <t xml:space="preserve">Measurement</t>
  </si>
  <si>
    <t xml:space="preserve">E33</t>
  </si>
  <si>
    <t xml:space="preserve">Cross-Cutting Security Analysis of LLM-Generated Code via Metamorphic Testing and Association Rule Mining</t>
  </si>
  <si>
    <t xml:space="preserve">IEEE IRI</t>
  </si>
  <si>
    <t xml:space="preserve">10.1109/IRI69576.2026.00034</t>
  </si>
  <si>
    <t xml:space="preserve">Detection method for generated code</t>
  </si>
  <si>
    <t xml:space="preserve">E37</t>
  </si>
  <si>
    <t xml:space="preserve">Quality Assurance for AI-Generated Code: A Framework for Validating LLM-Produced Software in Production Environments</t>
  </si>
  <si>
    <t xml:space="preserve">ICICI</t>
  </si>
  <si>
    <t xml:space="preserve">10.1109/ICICI68773.2026.11580904</t>
  </si>
  <si>
    <t xml:space="preserve">Full abstract: multi-stage validation incl. vulnerability detection</t>
  </si>
  <si>
    <t xml:space="preserve">E38</t>
  </si>
  <si>
    <t xml:space="preserve">IEEE Trans. Education</t>
  </si>
  <si>
    <t xml:space="preserve">10.1109/TE.2025.3610340</t>
  </si>
  <si>
    <t xml:space="preserve">User study of security outcomes</t>
  </si>
  <si>
    <t xml:space="preserve">E40</t>
  </si>
  <si>
    <t xml:space="preserve">Deploy, but verify: Analysing LLM Generated Code Safety</t>
  </si>
  <si>
    <t xml:space="preserve">Euromicro PDP</t>
  </si>
  <si>
    <t xml:space="preserve">10.1109/PDP66500.2025.00011</t>
  </si>
  <si>
    <t xml:space="preserve">E41</t>
  </si>
  <si>
    <t xml:space="preserve">Cracks in The Stack: Hidden Vulnerabilities and Licensing Risks in LLM Pre-Training Datasets</t>
  </si>
  <si>
    <t xml:space="preserve">10.1109/LLM4Code66737.2025.00018</t>
  </si>
  <si>
    <t xml:space="preserve">Vulnerable code in pre-training data</t>
  </si>
  <si>
    <t xml:space="preserve">E43</t>
  </si>
  <si>
    <t xml:space="preserve">Exploring the Security Threats of Knowledge Base Poisoning in Retrieval-Augmented Code Generation</t>
  </si>
  <si>
    <t xml:space="preserve">10.1109/TSE.2026.3689066</t>
  </si>
  <si>
    <t xml:space="preserve">Retrieval-corpus poisoning attack</t>
  </si>
  <si>
    <t xml:space="preserve">E44</t>
  </si>
  <si>
    <t xml:space="preserve">LLMSecEval: A Dataset of Natural Language Prompts for Security Evaluations</t>
  </si>
  <si>
    <t xml:space="preserve">MSR</t>
  </si>
  <si>
    <t xml:space="preserve">10.1109/MSR59073.2023.00084</t>
  </si>
  <si>
    <t xml:space="preserve">E45</t>
  </si>
  <si>
    <t xml:space="preserve">LISAT</t>
  </si>
  <si>
    <t xml:space="preserve">10.1109/LISAT63094.2024.10807934</t>
  </si>
  <si>
    <t xml:space="preserve">Secret/credential disclosure</t>
  </si>
  <si>
    <t xml:space="preserve">E47</t>
  </si>
  <si>
    <t xml:space="preserve">Prompting for Security: A Cross-Model Evaluation of Code Generation in LLMs</t>
  </si>
  <si>
    <t xml:space="preserve">UBMK</t>
  </si>
  <si>
    <t xml:space="preserve">10.1109/UBMK67458.2025.11207030</t>
  </si>
  <si>
    <t xml:space="preserve">Measurement of prompting defenses</t>
  </si>
  <si>
    <t xml:space="preserve">E48</t>
  </si>
  <si>
    <t xml:space="preserve">Static Analysis as a Feedback Loop: Enhancing LLM-Generated Code Beyond Correctness</t>
  </si>
  <si>
    <t xml:space="preserve">SCAM</t>
  </si>
  <si>
    <t xml:space="preserve">10.1109/SCAM67354.2025.00017</t>
  </si>
  <si>
    <t xml:space="preserve">Defense (static-analysis feedback)</t>
  </si>
  <si>
    <t xml:space="preserve">E50</t>
  </si>
  <si>
    <t xml:space="preserve">IEEE TrustCom</t>
  </si>
  <si>
    <t xml:space="preserve">10.1109/Trustcom66490.2025.00106</t>
  </si>
  <si>
    <t xml:space="preserve">Defense (prompt rectification)</t>
  </si>
  <si>
    <t xml:space="preserve">E53</t>
  </si>
  <si>
    <t xml:space="preserve">TrustGuard: Enforcing Trust in AI-Generated Software Supply Chains</t>
  </si>
  <si>
    <t xml:space="preserve">IEEE ISI</t>
  </si>
  <si>
    <t xml:space="preserve">10.1109/ISI69914.2026.11685843</t>
  </si>
  <si>
    <t xml:space="preserve">Provenance defense for AI-generated artifacts</t>
  </si>
  <si>
    <t xml:space="preserve">T2, T7</t>
  </si>
  <si>
    <t xml:space="preserve">Directly on topic: read in full</t>
  </si>
  <si>
    <t xml:space="preserve">E54</t>
  </si>
  <si>
    <t xml:space="preserve">Evaluating Static Security Gates and Learned Detectors on LLM-Generated Code in CI/CD Pipelines</t>
  </si>
  <si>
    <t xml:space="preserve">IEEE Access</t>
  </si>
  <si>
    <t xml:space="preserve">10.1109/ACCESS.2026.3743230</t>
  </si>
  <si>
    <t xml:space="preserve">Defense evaluation at CI/CD</t>
  </si>
  <si>
    <t xml:space="preserve">E55</t>
  </si>
  <si>
    <t xml:space="preserve">Security Analysis of LLM-Generated Web API Backends</t>
  </si>
  <si>
    <t xml:space="preserve">10.1109/ACCESS.2026.3727682</t>
  </si>
  <si>
    <t xml:space="preserve">E56</t>
  </si>
  <si>
    <t xml:space="preserve">Retrieve, Refine, or Both? Using Task-Specific Guidelines for Secure Python Code Generation</t>
  </si>
  <si>
    <t xml:space="preserve">ICSME</t>
  </si>
  <si>
    <t xml:space="preserve">10.1109/ICSME64153.2025.00041</t>
  </si>
  <si>
    <t xml:space="preserve">Defense (guideline retrieval)</t>
  </si>
  <si>
    <t xml:space="preserve">E60</t>
  </si>
  <si>
    <t xml:space="preserve">SCCA: A Multi-Agent Code Security Analysis Framework for AI-Assisted Code Generation</t>
  </si>
  <si>
    <t xml:space="preserve">IEEE MASS</t>
  </si>
  <si>
    <t xml:space="preserve">10.1109/MASS66014.2025.00089</t>
  </si>
  <si>
    <t xml:space="preserve">Defense (multi-agent analysis)</t>
  </si>
  <si>
    <t xml:space="preserve">E61</t>
  </si>
  <si>
    <t xml:space="preserve">Can LLMs Keep Up with Library Changes? An Exploratory Study on LLM-Generated Code</t>
  </si>
  <si>
    <t xml:space="preserve">10.1109/SANER67736.2026.00088</t>
  </si>
  <si>
    <t xml:space="preserve">Deprecated/vulnerable library selection</t>
  </si>
  <si>
    <t xml:space="preserve">T2</t>
  </si>
  <si>
    <t xml:space="preserve">E62</t>
  </si>
  <si>
    <t xml:space="preserve">CONISOFT</t>
  </si>
  <si>
    <t xml:space="preserve">10.1109/CONISOFT63288.2024.00050</t>
  </si>
  <si>
    <t xml:space="preserve">R02 in DB Candidates</t>
  </si>
  <si>
    <t xml:space="preserve">E64</t>
  </si>
  <si>
    <t xml:space="preserve">ICSE</t>
  </si>
  <si>
    <t xml:space="preserve">10.1145/3597503.3639154</t>
  </si>
  <si>
    <t xml:space="preserve">User study</t>
  </si>
  <si>
    <t xml:space="preserve">Same paper as A135</t>
  </si>
  <si>
    <t xml:space="preserve">E66</t>
  </si>
  <si>
    <t xml:space="preserve">10.1109/TSE.2025.3619281</t>
  </si>
  <si>
    <t xml:space="preserve">E67</t>
  </si>
  <si>
    <t xml:space="preserve">Is AI-Generated Web Code Vulnerability-Free?</t>
  </si>
  <si>
    <t xml:space="preserve">AEECT</t>
  </si>
  <si>
    <t xml:space="preserve">10.1109/AEECT69724.2026.11657834</t>
  </si>
  <si>
    <t xml:space="preserve">Measurement incl. hard-coded secrets</t>
  </si>
  <si>
    <t xml:space="preserve">T7, T6</t>
  </si>
  <si>
    <t xml:space="preserve">E68</t>
  </si>
  <si>
    <t xml:space="preserve">10.1109/TDSC.2026.3703498</t>
  </si>
  <si>
    <t xml:space="preserve">Injection via code context</t>
  </si>
  <si>
    <t xml:space="preserve">T3</t>
  </si>
  <si>
    <t xml:space="preserve">Directly on topic</t>
  </si>
  <si>
    <t xml:space="preserve">E69</t>
  </si>
  <si>
    <t xml:space="preserve">IDSTA</t>
  </si>
  <si>
    <t xml:space="preserve">10.1109/IDSTA66210.2025.11202778</t>
  </si>
  <si>
    <t xml:space="preserve">Competing SoK</t>
  </si>
  <si>
    <t xml:space="preserve">R01; must be cited and differentiated</t>
  </si>
  <si>
    <t xml:space="preserve">E71</t>
  </si>
  <si>
    <t xml:space="preserve">IEEE BigData</t>
  </si>
  <si>
    <t xml:space="preserve">10.1109/BigData66926.2025.11400849</t>
  </si>
  <si>
    <t xml:space="preserve">Defense (audit pipeline)</t>
  </si>
  <si>
    <t xml:space="preserve">E74</t>
  </si>
  <si>
    <t xml:space="preserve">APILOT: Improving the Security and Usability of LLM Code Suggestions via Outdated API Mitigation</t>
  </si>
  <si>
    <t xml:space="preserve">ACSAC</t>
  </si>
  <si>
    <t xml:space="preserve">10.1109/ACSAC67867.2025.00094</t>
  </si>
  <si>
    <t xml:space="preserve">Defense against outdated/vulnerable APIs</t>
  </si>
  <si>
    <t xml:space="preserve">E76</t>
  </si>
  <si>
    <t xml:space="preserve">IEEE VCC</t>
  </si>
  <si>
    <t xml:space="preserve">10.1109/VCC60689.2023.10474718</t>
  </si>
  <si>
    <t xml:space="preserve">Threat model of AI coding tools</t>
  </si>
  <si>
    <t xml:space="preserve">T3, T6</t>
  </si>
  <si>
    <t xml:space="preserve">E80</t>
  </si>
  <si>
    <t xml:space="preserve">ICSE Companion</t>
  </si>
  <si>
    <t xml:space="preserve">10.1109/ICSE-Companion66252.2025.00014</t>
  </si>
  <si>
    <t xml:space="preserve">Package recommendation correctness</t>
  </si>
  <si>
    <t xml:space="preserve">E81</t>
  </si>
  <si>
    <t xml:space="preserve">Do Language Models Prefer Vulnerable Code? A Probabilistic Study of Insecure Code Preference</t>
  </si>
  <si>
    <t xml:space="preserve">ICST</t>
  </si>
  <si>
    <t xml:space="preserve">10.1109/ICST69053.2026.00075</t>
  </si>
  <si>
    <t xml:space="preserve">E85</t>
  </si>
  <si>
    <t xml:space="preserve">ICEE</t>
  </si>
  <si>
    <t xml:space="preserve">10.1109/ICEE70628.2026.11710632</t>
  </si>
  <si>
    <t xml:space="preserve">Defense (RAG)</t>
  </si>
  <si>
    <t xml:space="preserve">E88</t>
  </si>
  <si>
    <t xml:space="preserve">Trust But Verify: Analyzing the Tradeoffs of AI-Generated Code</t>
  </si>
  <si>
    <t xml:space="preserve">IEEE Software</t>
  </si>
  <si>
    <t xml:space="preserve">10.1109/MS.2026.3667154</t>
  </si>
  <si>
    <t xml:space="preserve">Exclusion (i): no security analysis</t>
  </si>
  <si>
    <t xml:space="preserve">E96</t>
  </si>
  <si>
    <t xml:space="preserve">Security Risks in AI-Generated Code: A Comparative Analysis of Industry and Academic Benchmarks</t>
  </si>
  <si>
    <t xml:space="preserve">AECE</t>
  </si>
  <si>
    <t xml:space="preserve">10.1109/AECE67531.2025.11386596</t>
  </si>
  <si>
    <t xml:space="preserve">Benchmark comparison</t>
  </si>
  <si>
    <t xml:space="preserve">E103</t>
  </si>
  <si>
    <t xml:space="preserve">Detection of Vulnerabilities in AI-Generated Java Code Using Random Forest Algorithm</t>
  </si>
  <si>
    <t xml:space="preserve">IITCEE</t>
  </si>
  <si>
    <t xml:space="preserve">10.1109/IITCEE67948.2026.11394305</t>
  </si>
  <si>
    <t xml:space="preserve">Detection of insecure generated code</t>
  </si>
  <si>
    <t xml:space="preserve">E110</t>
  </si>
  <si>
    <t xml:space="preserve">Persistent Human Feedback, LLMs, and Static Analyzers for Secure Code Generation and Vulnerability Detection</t>
  </si>
  <si>
    <t xml:space="preserve">SANER Companion</t>
  </si>
  <si>
    <t xml:space="preserve">10.1109/SANER-C67878.2026.00042</t>
  </si>
  <si>
    <t xml:space="preserve">Evaluation-method validity (static analyzers vs ground truth)</t>
  </si>
  <si>
    <t xml:space="preserve">Useful for the evaluation-maturity section</t>
  </si>
  <si>
    <t xml:space="preserve">E111</t>
  </si>
  <si>
    <t xml:space="preserve">Benchmarking Prompt Engineering Techniques for Secure Code Generation with GPT Models</t>
  </si>
  <si>
    <t xml:space="preserve">FORGE</t>
  </si>
  <si>
    <t xml:space="preserve">10.1109/Forge66646.2025.00018</t>
  </si>
  <si>
    <t xml:space="preserve">Defense benchmark</t>
  </si>
  <si>
    <t xml:space="preserve">E112</t>
  </si>
  <si>
    <t xml:space="preserve">Verifiable Collaboration among Agentic Code Assistants using Blockchain for Software Engineering Workflows</t>
  </si>
  <si>
    <t xml:space="preserve">AIxSE</t>
  </si>
  <si>
    <t xml:space="preserve">10.1109/AIxSE64906.2025.00019</t>
  </si>
  <si>
    <t xml:space="preserve">Full abstract: provenance ledger for agent actions; no security evaluation (maturity E0)</t>
  </si>
  <si>
    <t xml:space="preserve">E113</t>
  </si>
  <si>
    <t xml:space="preserve">LLMs Meet Library Evolution: Evaluating Deprecated API Usage in LLM-Based Code Completion</t>
  </si>
  <si>
    <t xml:space="preserve">10.1109/ICSE55347.2025.00245</t>
  </si>
  <si>
    <t xml:space="preserve">Exclusion (i): no security analysis (deprecated-API correctness only)</t>
  </si>
  <si>
    <t xml:space="preserve">Same paper as A61; Resolved from full abstract</t>
  </si>
  <si>
    <t xml:space="preserve">E116</t>
  </si>
  <si>
    <t xml:space="preserve">A Study on User Approval Criteria and User Interfaces for Dependability of AI-based Code Generation Tools</t>
  </si>
  <si>
    <t xml:space="preserve">PRDC</t>
  </si>
  <si>
    <t xml:space="preserve">10.1109/PRDC67299.2025.00026</t>
  </si>
  <si>
    <t xml:space="preserve">Exclusion (i): no security analysis (dependability UI)</t>
  </si>
  <si>
    <t xml:space="preserve">E123</t>
  </si>
  <si>
    <t xml:space="preserve">Malicious and Unintentional Disclosure Risks in Large Language Models for Code Generation</t>
  </si>
  <si>
    <t xml:space="preserve">10.1109/SANER-C66551.2025.00016</t>
  </si>
  <si>
    <t xml:space="preserve">Secret disclosure from training data</t>
  </si>
  <si>
    <t xml:space="preserve">E125</t>
  </si>
  <si>
    <t xml:space="preserve">Advancing Secure and Standard Source Code Generation Techniques</t>
  </si>
  <si>
    <t xml:space="preserve">10.1109/ICSE-Companion66252.2025.00023</t>
  </si>
  <si>
    <t xml:space="preserve">Defense (doctoral-track paper)</t>
  </si>
  <si>
    <t xml:space="preserve">E127</t>
  </si>
  <si>
    <t xml:space="preserve">ICARC</t>
  </si>
  <si>
    <t xml:space="preserve">10.1109/ICARC64760.2025.10963005</t>
  </si>
  <si>
    <t xml:space="preserve">E130</t>
  </si>
  <si>
    <t xml:space="preserve">Explicit Vulnerability Generation with LLMs: An Investigation Beyond Adversarial Attacks</t>
  </si>
  <si>
    <t xml:space="preserve">10.1109/ICSME64153.2025.00086</t>
  </si>
  <si>
    <t xml:space="preserve">Measurement of deliberate vulnerable output</t>
  </si>
  <si>
    <t xml:space="preserve">E137</t>
  </si>
  <si>
    <t xml:space="preserve">CFCEval: Evaluating Security Aspects in Code Generated by Large Language Models</t>
  </si>
  <si>
    <t xml:space="preserve">AIware</t>
  </si>
  <si>
    <t xml:space="preserve">10.1109/AIware69974.2025.00021</t>
  </si>
  <si>
    <t xml:space="preserve">E140</t>
  </si>
  <si>
    <t xml:space="preserve">ICPC</t>
  </si>
  <si>
    <t xml:space="preserve">10.1109/ICPC66645.2025.00056</t>
  </si>
  <si>
    <t xml:space="preserve">Vulnerable training data effect</t>
  </si>
  <si>
    <t xml:space="preserve">E142</t>
  </si>
  <si>
    <t xml:space="preserve">SmartNets</t>
  </si>
  <si>
    <t xml:space="preserve">10.1109/SmartNets69662.2026.11604974</t>
  </si>
  <si>
    <t xml:space="preserve">Defense against injection via project rule files</t>
  </si>
  <si>
    <t xml:space="preserve">E143</t>
  </si>
  <si>
    <t xml:space="preserve">AI-Powered Code Generation in Agile Workflows: Risks, Review Strategies, and Developer Perceptions</t>
  </si>
  <si>
    <t xml:space="preserve">10.1109/SIST61674.2026.11596025</t>
  </si>
  <si>
    <t xml:space="preserve">Full abstract: vulnerability exposure measured by static analysis</t>
  </si>
  <si>
    <t xml:space="preserve">E145</t>
  </si>
  <si>
    <t xml:space="preserve">Forensic Detection and Attribution of AI-Generated Code: A Multi-Classifier Approach with CVE Validation</t>
  </si>
  <si>
    <t xml:space="preserve">IEMCON</t>
  </si>
  <si>
    <t xml:space="preserve">10.1109/IEMCON67450.2025.11381067</t>
  </si>
  <si>
    <t xml:space="preserve">Full abstract: AI-code attribution validated on 120 CVE samples</t>
  </si>
  <si>
    <t xml:space="preserve">E161</t>
  </si>
  <si>
    <t xml:space="preserve">Attribution-guided Adversarial Code Prompt Generation for Code Completion Models</t>
  </si>
  <si>
    <t xml:space="preserve">ASE</t>
  </si>
  <si>
    <t xml:space="preserve">(not returned)</t>
  </si>
  <si>
    <t xml:space="preserve">Adversarial prompts induce vulnerable completions</t>
  </si>
  <si>
    <t xml:space="preserve">Same paper as A64</t>
  </si>
  <si>
    <t xml:space="preserve">E162</t>
  </si>
  <si>
    <t xml:space="preserve">Security and Reliability of AI-Generated C++ Code: A Static Analysis Study Aligned With Saudi NCA ECC</t>
  </si>
  <si>
    <t xml:space="preserve">10.1109/ACCESS.2026.3679355</t>
  </si>
  <si>
    <t xml:space="preserve">E165</t>
  </si>
  <si>
    <t xml:space="preserve">10.1109/SP61157.2025.00125</t>
  </si>
  <si>
    <t xml:space="preserve">Evasion of LLM code auditors (review gate)</t>
  </si>
  <si>
    <t xml:space="preserve">Attack on an LLM review step in the pipeline</t>
  </si>
  <si>
    <t xml:space="preserve">E168</t>
  </si>
  <si>
    <t xml:space="preserve">Weaknesses in LLM-Generated Code for Embedded Systems Networking</t>
  </si>
  <si>
    <t xml:space="preserve">IEEE QRS</t>
  </si>
  <si>
    <t xml:space="preserve">10.1109/QRS62785.2024.00033</t>
  </si>
  <si>
    <t xml:space="preserve">E183</t>
  </si>
  <si>
    <t xml:space="preserve">Evaluating and Enhancing Memory Safety in LLM-Generated Code on CHERI</t>
  </si>
  <si>
    <t xml:space="preserve">CSCWD</t>
  </si>
  <si>
    <t xml:space="preserve">10.1109/CSCWD68734.2026.11582098</t>
  </si>
  <si>
    <t xml:space="preserve">Measurement + mitigation</t>
  </si>
  <si>
    <t xml:space="preserve">E188</t>
  </si>
  <si>
    <t xml:space="preserve">Beyond Functional Correctness: Exploring Hallucinations in LLM-Generated Code</t>
  </si>
  <si>
    <t xml:space="preserve">10.1109/TSE.2026.3657432</t>
  </si>
  <si>
    <t xml:space="preserve">Exclusion (i): no security analysis (functional hallucination taxonomy)</t>
  </si>
  <si>
    <t xml:space="preserve">E214</t>
  </si>
  <si>
    <t xml:space="preserve">Cost-Effective Adversarial Attacks Against Code LLM With Model Attention</t>
  </si>
  <si>
    <t xml:space="preserve">10.1109/TSE.2026.3663143</t>
  </si>
  <si>
    <t xml:space="preserve">Model robustness on code-understanding tasks; no supply-chain artifact</t>
  </si>
  <si>
    <t xml:space="preserve">E222</t>
  </si>
  <si>
    <t xml:space="preserve">Drivers of Secure and Correct Code: A Factorial Study of Size, Pre-Training, and Data Quality</t>
  </si>
  <si>
    <t xml:space="preserve">10.1109/DSN-W70714.2026.00031</t>
  </si>
  <si>
    <t xml:space="preserve">E239</t>
  </si>
  <si>
    <t xml:space="preserve">10.1109/ICSE55347.2025.00229</t>
  </si>
  <si>
    <t xml:space="preserve">Secret memorization</t>
  </si>
  <si>
    <t xml:space="preserve">Same paper as A129</t>
  </si>
  <si>
    <t xml:space="preserve">E243</t>
  </si>
  <si>
    <t xml:space="preserve">SafeLoc: Token-Level Hallucination Localization in LLM-Generated Code via CodeBERT</t>
  </si>
  <si>
    <t xml:space="preserve">IJCNN</t>
  </si>
  <si>
    <t xml:space="preserve">10.1109/IJCNN69854.2026.11729280</t>
  </si>
  <si>
    <t xml:space="preserve">Detects non-existent library calls</t>
  </si>
  <si>
    <t xml:space="preserve">T1</t>
  </si>
  <si>
    <t xml:space="preserve">E255</t>
  </si>
  <si>
    <t xml:space="preserve">ICERA</t>
  </si>
  <si>
    <t xml:space="preserve">10.1109/ICERA72709.2026.11666669</t>
  </si>
  <si>
    <t xml:space="preserve">Full abstract: least-privilege context for developer agents; prototype benchmark</t>
  </si>
  <si>
    <t xml:space="preserve">T6, T5</t>
  </si>
  <si>
    <t xml:space="preserve">E258</t>
  </si>
  <si>
    <t xml:space="preserve">CAIN</t>
  </si>
  <si>
    <t xml:space="preserve">10.1109/CAIN66642.2025.00050</t>
  </si>
  <si>
    <t xml:space="preserve">Backdoor detection</t>
  </si>
  <si>
    <t xml:space="preserve">E261</t>
  </si>
  <si>
    <t xml:space="preserve">ICIETSD</t>
  </si>
  <si>
    <t xml:space="preserve">10.1109/ICIETSD68684.2026.11584879</t>
  </si>
  <si>
    <t xml:space="preserve">Exclusion (i): no security analysis (productivity/quality impact; synthetic dataset)</t>
  </si>
  <si>
    <t xml:space="preserve">E279</t>
  </si>
  <si>
    <t xml:space="preserve">Where Is Self-admitted Code Generated by Large Language Models on GitHub?</t>
  </si>
  <si>
    <t xml:space="preserve">APSEC</t>
  </si>
  <si>
    <t xml:space="preserve">10.1109/APSEC66846.2025.00047</t>
  </si>
  <si>
    <t xml:space="preserve">E309</t>
  </si>
  <si>
    <t xml:space="preserve">10.1145/3650105.3652299</t>
  </si>
  <si>
    <t xml:space="preserve">Defense (fine-tuning)</t>
  </si>
  <si>
    <t xml:space="preserve">Same paper as A155</t>
  </si>
  <si>
    <t xml:space="preserve">E373</t>
  </si>
  <si>
    <t xml:space="preserve">Codebreaker: Dynamic Extraction Attacks on Code Language Models</t>
  </si>
  <si>
    <t xml:space="preserve">10.1109/SP61157.2025.00124</t>
  </si>
  <si>
    <t xml:space="preserve">Extraction of personal information from code assistants</t>
  </si>
  <si>
    <t xml:space="preserve">E381</t>
  </si>
  <si>
    <t xml:space="preserve">AO-GGOFuzzer: A Program-Aware Hybrid Fuzzer for LLM-Generated Python Code</t>
  </si>
  <si>
    <t xml:space="preserve">ICCNEA</t>
  </si>
  <si>
    <t xml:space="preserve">10.1109/ICCNEA70678.2026.11722236</t>
  </si>
  <si>
    <t xml:space="preserve">Detection of defects incl. security</t>
  </si>
  <si>
    <t xml:space="preserve">E393</t>
  </si>
  <si>
    <t xml:space="preserve">Vendor-Aware Industrial Agents: RAG-Enhanced LLMs for Secure on-Premise PLC Code Generation</t>
  </si>
  <si>
    <t xml:space="preserve">IEEE ICIT</t>
  </si>
  <si>
    <t xml:space="preserve">10.1109/ICIT64854.2026.11491098</t>
  </si>
  <si>
    <t xml:space="preserve">Exclusion (i): no security analysis ('secure' = on-premise confidentiality)</t>
  </si>
  <si>
    <t xml:space="preserve">E402</t>
  </si>
  <si>
    <t xml:space="preserve">10.1109/TSE.2026.3651566</t>
  </si>
  <si>
    <t xml:space="preserve">API misuse leading to vulnerabilities</t>
  </si>
  <si>
    <t xml:space="preserve">E429</t>
  </si>
  <si>
    <t xml:space="preserve">Self-Admitted GenAI Usage in Open-Source Software</t>
  </si>
  <si>
    <t xml:space="preserve">10.1109/TSE.2026.3681886</t>
  </si>
  <si>
    <t xml:space="preserve">E433</t>
  </si>
  <si>
    <t xml:space="preserve">Coding Agents in the Wild: Failure Modes and Rejection Patterns of AI-Generated Pull Requests</t>
  </si>
  <si>
    <t xml:space="preserve">10.1109/ACCESS.2026.3696573</t>
  </si>
  <si>
    <t xml:space="preserve">Exclusion (i): no security analysis (functional rejection reasons)</t>
  </si>
  <si>
    <t xml:space="preserve">E461</t>
  </si>
  <si>
    <t xml:space="preserve">Polyglot but Perilous: A Multi-Model, Multi-Language Audit of LLM-Generated Code</t>
  </si>
  <si>
    <t xml:space="preserve">IEEE Computer</t>
  </si>
  <si>
    <t xml:space="preserve">10.1109/MC.2026.3696004</t>
  </si>
  <si>
    <t xml:space="preserve">Exclusion (iv): magazine summary of E1</t>
  </si>
  <si>
    <t xml:space="preserve">E91</t>
  </si>
  <si>
    <t xml:space="preserve">10.1109/SP54263.2024.00140</t>
  </si>
  <si>
    <t xml:space="preserve">Already in corpus</t>
  </si>
  <si>
    <t xml:space="preserve">P15</t>
  </si>
  <si>
    <t xml:space="preserve">E163</t>
  </si>
  <si>
    <t xml:space="preserve">Asleep at the Keyboard? Assessing the Security of GitHub Copilot's Code Contributions</t>
  </si>
  <si>
    <t xml:space="preserve">10.1109/SP46214.2022.9833571</t>
  </si>
  <si>
    <t xml:space="preserve">P10</t>
  </si>
  <si>
    <t xml:space="preserve">A0</t>
  </si>
  <si>
    <t xml:space="preserve">D10 (ACM)</t>
  </si>
  <si>
    <t xml:space="preserve">Systematic Evaluation of Security Flaws in Low-Level Code Generated by LLMs</t>
  </si>
  <si>
    <t xml:space="preserve">ASYDE</t>
  </si>
  <si>
    <t xml:space="preserve">10.1145/3843777.3844532</t>
  </si>
  <si>
    <t xml:space="preserve">Measurement with dynamic tests</t>
  </si>
  <si>
    <t xml:space="preserve">A2</t>
  </si>
  <si>
    <t xml:space="preserve">ACMSE</t>
  </si>
  <si>
    <t xml:space="preserve">10.1145/3746467.3801530</t>
  </si>
  <si>
    <t xml:space="preserve">Full abstract: synthesis of prior studies + governance framework</t>
  </si>
  <si>
    <t xml:space="preserve">A3</t>
  </si>
  <si>
    <t xml:space="preserve">LLM-CSEC: Empirical Evaluation of Security in C/C++ Code Generated by Large Language Models</t>
  </si>
  <si>
    <t xml:space="preserve">SAC</t>
  </si>
  <si>
    <t xml:space="preserve">10.1145/3748522.3780027</t>
  </si>
  <si>
    <t xml:space="preserve">A4</t>
  </si>
  <si>
    <t xml:space="preserve">Open Source and the Iceberg Theory</t>
  </si>
  <si>
    <t xml:space="preserve">ACM Queue</t>
  </si>
  <si>
    <t xml:space="preserve">10.1145/3799738</t>
  </si>
  <si>
    <t xml:space="preserve">Position/tutorial/perspective with no attack, defense, benchmark or measurement</t>
  </si>
  <si>
    <t xml:space="preserve">A5</t>
  </si>
  <si>
    <t xml:space="preserve">ViBench: A Benchmark on Vibe Coding</t>
  </si>
  <si>
    <t xml:space="preserve">CAIS</t>
  </si>
  <si>
    <t xml:space="preserve">10.1145/3786335.3813162</t>
  </si>
  <si>
    <t xml:space="preserve">Exclusion (i): no security analysis (functional benchmark)</t>
  </si>
  <si>
    <t xml:space="preserve">A6</t>
  </si>
  <si>
    <t xml:space="preserve">Q&amp;AEval: Benchmarking Secure Coding Ability of LLMs on Real-World Tasks</t>
  </si>
  <si>
    <t xml:space="preserve">SVM</t>
  </si>
  <si>
    <t xml:space="preserve">10.1145/3786165.3788437</t>
  </si>
  <si>
    <t xml:space="preserve">A8</t>
  </si>
  <si>
    <t xml:space="preserve">Human vs AI: Insecure Use of Security-Sensitive Functions in AI-generated Code in Comparison to Human-written Code</t>
  </si>
  <si>
    <t xml:space="preserve">10.1145/3748522.3779860</t>
  </si>
  <si>
    <t xml:space="preserve">A9</t>
  </si>
  <si>
    <t xml:space="preserve">Robust Zero Knowledge Verifiable Watermarking of Code LLMs with ML/Crypto Co-Design</t>
  </si>
  <si>
    <t xml:space="preserve">ACM TAISAP</t>
  </si>
  <si>
    <t xml:space="preserve">10.1145/3840296</t>
  </si>
  <si>
    <t xml:space="preserve">IP/licensing protection, not a supply-chain security threat</t>
  </si>
  <si>
    <t xml:space="preserve">Hunk-Constrained DPO: Segment-Level Optimization for Secure and Correct LLM Code Generation</t>
  </si>
  <si>
    <t xml:space="preserve">ACM TOSEM</t>
  </si>
  <si>
    <t xml:space="preserve">10.1145/3816250</t>
  </si>
  <si>
    <t xml:space="preserve">Defense (alignment)</t>
  </si>
  <si>
    <t xml:space="preserve">On Developers' Self-Declaration of AI-Generated Code: An Analysis of Practices</t>
  </si>
  <si>
    <t xml:space="preserve">10.1145/3771937</t>
  </si>
  <si>
    <t xml:space="preserve">A14</t>
  </si>
  <si>
    <t xml:space="preserve">PACMSE (ISSTA)</t>
  </si>
  <si>
    <t xml:space="preserve">10.1145/3832267</t>
  </si>
  <si>
    <t xml:space="preserve">Attack on agent tool invocation</t>
  </si>
  <si>
    <t xml:space="preserve">T5, T3</t>
  </si>
  <si>
    <t xml:space="preserve">A15</t>
  </si>
  <si>
    <t xml:space="preserve">Authority Is Not a String: A Capability-Scoped Harness for Prompt-Injection-Resistant Coding Agents</t>
  </si>
  <si>
    <t xml:space="preserve">LMPL</t>
  </si>
  <si>
    <t xml:space="preserve">10.1145/3843750.3843843</t>
  </si>
  <si>
    <t xml:space="preserve">P26 (CapScope)</t>
  </si>
  <si>
    <t xml:space="preserve">A16</t>
  </si>
  <si>
    <t xml:space="preserve">Distinguishing AI- and Human-Generated Code: A Case Study</t>
  </si>
  <si>
    <t xml:space="preserve">SCORED @ CCS</t>
  </si>
  <si>
    <t xml:space="preserve">10.1145/3605770.3625215</t>
  </si>
  <si>
    <t xml:space="preserve">Provenance as supply-chain control</t>
  </si>
  <si>
    <t xml:space="preserve">T7, T8</t>
  </si>
  <si>
    <t xml:space="preserve">Supply-chain workshop paper</t>
  </si>
  <si>
    <t xml:space="preserve">A17</t>
  </si>
  <si>
    <t xml:space="preserve">Exploring the Impact of Intervention Methods on Developers' Security Behavior in a Manipulated ChatGPT Study</t>
  </si>
  <si>
    <t xml:space="preserve">CHI</t>
  </si>
  <si>
    <t xml:space="preserve">10.1145/3706598.3713989</t>
  </si>
  <si>
    <t xml:space="preserve">User study of insecure-suggestion warnings</t>
  </si>
  <si>
    <t xml:space="preserve">A19</t>
  </si>
  <si>
    <t xml:space="preserve">Benchmarking and Defending against Indirect Prompt Injection Attacks on Large Language Models</t>
  </si>
  <si>
    <t xml:space="preserve">KDD</t>
  </si>
  <si>
    <t xml:space="preserve">10.1145/3690624.3709179</t>
  </si>
  <si>
    <t xml:space="preserve">Exclusion (ii): general LLM injection, not applied to coding</t>
  </si>
  <si>
    <t xml:space="preserve">Background for T3</t>
  </si>
  <si>
    <t xml:space="preserve">A24</t>
  </si>
  <si>
    <t xml:space="preserve">AIALIB: A Threat Library for AI-Generated Code</t>
  </si>
  <si>
    <t xml:space="preserve">10.1145/3832783.3834655</t>
  </si>
  <si>
    <t xml:space="preserve">Threat library</t>
  </si>
  <si>
    <t xml:space="preserve">Compare against our taxonomy</t>
  </si>
  <si>
    <t xml:space="preserve">A25</t>
  </si>
  <si>
    <t xml:space="preserve">Securing Language Models Against Vulnerability Encoding</t>
  </si>
  <si>
    <t xml:space="preserve">FSE Companion</t>
  </si>
  <si>
    <t xml:space="preserve">10.1145/3696630.3731466</t>
  </si>
  <si>
    <t xml:space="preserve">Defense (training-time)</t>
  </si>
  <si>
    <t xml:space="preserve">A26</t>
  </si>
  <si>
    <t xml:space="preserve">SOSecure: The Wisdom of the Crowd for Safer AI-Generated Code</t>
  </si>
  <si>
    <t xml:space="preserve">10.1145/3805760.3814903</t>
  </si>
  <si>
    <t xml:space="preserve">Defense (retrieval of community fixes)</t>
  </si>
  <si>
    <t xml:space="preserve">A28</t>
  </si>
  <si>
    <t xml:space="preserve">Generating Java Methods: An Empirical Assessment of Four AI-Based Code Assistants</t>
  </si>
  <si>
    <t xml:space="preserve">10.1145/3643916.3644402</t>
  </si>
  <si>
    <t xml:space="preserve">Exclusion (i): no security analysis (accuracy only)</t>
  </si>
  <si>
    <t xml:space="preserve">A30</t>
  </si>
  <si>
    <t xml:space="preserve">Not What You've Signed Up For: Compromising Real-World LLM-Integrated Applications with Indirect Prompt Injection</t>
  </si>
  <si>
    <t xml:space="preserve">AISec @ CCS</t>
  </si>
  <si>
    <t xml:space="preserve">10.1145/3605764.3623985</t>
  </si>
  <si>
    <t xml:space="preserve">Background for T3 (includes a Copilot-style code-completion scenario; cite)</t>
  </si>
  <si>
    <t xml:space="preserve">A32</t>
  </si>
  <si>
    <t xml:space="preserve">Do Users Write More Insecure Code with AI Assistants?</t>
  </si>
  <si>
    <t xml:space="preserve">CCS</t>
  </si>
  <si>
    <t xml:space="preserve">10.1145/3576915.3623157</t>
  </si>
  <si>
    <t xml:space="preserve">Perry et al.</t>
  </si>
  <si>
    <t xml:space="preserve">A33</t>
  </si>
  <si>
    <t xml:space="preserve">Traces of Memorisation in Large Language Models for Code</t>
  </si>
  <si>
    <t xml:space="preserve">10.1145/3597503.3639133</t>
  </si>
  <si>
    <t xml:space="preserve">Training-data memorization</t>
  </si>
  <si>
    <t xml:space="preserve">A36</t>
  </si>
  <si>
    <t xml:space="preserve">Does Your Neural Code Completion Model Use My Code? A Membership Inference Approach</t>
  </si>
  <si>
    <t xml:space="preserve">10.1145/3742785</t>
  </si>
  <si>
    <t xml:space="preserve">A37</t>
  </si>
  <si>
    <t xml:space="preserve">SecRepoBench: Benchmarking Code Agents for Secure Code Completion in Real-World Repositories</t>
  </si>
  <si>
    <t xml:space="preserve">LLM4Code</t>
  </si>
  <si>
    <t xml:space="preserve">10.1145/3786181.3788703</t>
  </si>
  <si>
    <t xml:space="preserve">Agent security benchmark (29 LLMs, 15 agents)</t>
  </si>
  <si>
    <t xml:space="preserve">Agent-evaluated</t>
  </si>
  <si>
    <t xml:space="preserve">A40</t>
  </si>
  <si>
    <t xml:space="preserve">SE Perspective on LLMs: Biases in Code Generation, Code Interpretability, and Code Security Risks</t>
  </si>
  <si>
    <t xml:space="preserve">ACM CSUR</t>
  </si>
  <si>
    <t xml:space="preserve">10.1145/3774324</t>
  </si>
  <si>
    <t xml:space="preserve">Perspective/survey</t>
  </si>
  <si>
    <t xml:space="preserve">A46</t>
  </si>
  <si>
    <t xml:space="preserve">10.1145/3658644.3690283</t>
  </si>
  <si>
    <t xml:space="preserve">Qualitative security study</t>
  </si>
  <si>
    <t xml:space="preserve">A47</t>
  </si>
  <si>
    <t xml:space="preserve">The Watermark Paradox: How Provenance Verification Paves the Road to Camouflaged Backdoors</t>
  </si>
  <si>
    <t xml:space="preserve">10.1145/3803437.3805553</t>
  </si>
  <si>
    <t xml:space="preserve">Provenance enables backdoors</t>
  </si>
  <si>
    <t xml:space="preserve">A49</t>
  </si>
  <si>
    <t xml:space="preserve">Security of Language Models for Code: A Systematic Literature Review</t>
  </si>
  <si>
    <t xml:space="preserve">10.1145/3735554</t>
  </si>
  <si>
    <t xml:space="preserve">S01</t>
  </si>
  <si>
    <t xml:space="preserve">A54</t>
  </si>
  <si>
    <t xml:space="preserve">Prompting Techniques for Secure Code Generation: A Systematic Investigation</t>
  </si>
  <si>
    <t xml:space="preserve">10.1145/3722108</t>
  </si>
  <si>
    <t xml:space="preserve">Defense evaluation</t>
  </si>
  <si>
    <t xml:space="preserve">A56</t>
  </si>
  <si>
    <t xml:space="preserve">SecurityEval dataset: mining vulnerability examples to evaluate machine learning-based code generation techniques</t>
  </si>
  <si>
    <t xml:space="preserve">MSR4P&amp;S</t>
  </si>
  <si>
    <t xml:space="preserve">10.1145/3549035.3561184</t>
  </si>
  <si>
    <t xml:space="preserve">A60</t>
  </si>
  <si>
    <t xml:space="preserve">Premature Trust: How Student Overreliance on GenAI is Seeding Tomorrow's Security Gaps</t>
  </si>
  <si>
    <t xml:space="preserve">SIGCITE</t>
  </si>
  <si>
    <t xml:space="preserve">10.1145/3769694.3771124</t>
  </si>
  <si>
    <t xml:space="preserve">Position/tutorial/perspective with no attack, defense, benchmark or measurement (simulated pilot)</t>
  </si>
  <si>
    <t xml:space="preserve">A61</t>
  </si>
  <si>
    <t xml:space="preserve">Duplicate (other database)</t>
  </si>
  <si>
    <t xml:space="preserve">A64</t>
  </si>
  <si>
    <t xml:space="preserve">10.1145/3691620.3695517</t>
  </si>
  <si>
    <t xml:space="preserve">A65</t>
  </si>
  <si>
    <t xml:space="preserve">Inside Out: Uncovering How Comment Internalization Steers LLMs for Better or Worse</t>
  </si>
  <si>
    <t xml:space="preserve">10.1145/3744916.3787776</t>
  </si>
  <si>
    <t xml:space="preserve">Exclusion (i): no security analysis (interpretability)</t>
  </si>
  <si>
    <t xml:space="preserve">A66</t>
  </si>
  <si>
    <t xml:space="preserve">Your Code Secret Belongs to Me: Neural Code Completion Tools Can Memorize Hard-Coded Credentials</t>
  </si>
  <si>
    <t xml:space="preserve">PACMSE (FSE)</t>
  </si>
  <si>
    <t xml:space="preserve">10.1145/3660818</t>
  </si>
  <si>
    <t xml:space="preserve">Huang et al.</t>
  </si>
  <si>
    <t xml:space="preserve">A72</t>
  </si>
  <si>
    <t xml:space="preserve">Generalized Adversarial Code-Suggestions: Exploiting Contexts of LLM-based Code-Completion</t>
  </si>
  <si>
    <t xml:space="preserve">ASIA CCS</t>
  </si>
  <si>
    <t xml:space="preserve">10.1145/3708821.3733870</t>
  </si>
  <si>
    <t xml:space="preserve">Attack on code-completion context</t>
  </si>
  <si>
    <t xml:space="preserve">T8, T3</t>
  </si>
  <si>
    <t xml:space="preserve">A74</t>
  </si>
  <si>
    <t xml:space="preserve">ISSTA</t>
  </si>
  <si>
    <t xml:space="preserve">10.1145/3650212.3680371</t>
  </si>
  <si>
    <t xml:space="preserve">P19</t>
  </si>
  <si>
    <t xml:space="preserve">A79</t>
  </si>
  <si>
    <t xml:space="preserve">Decoding the Configuration of AI Coding Agents: Insights from Claude Code Projects</t>
  </si>
  <si>
    <t xml:space="preserve">AGENT @ ICSE</t>
  </si>
  <si>
    <t xml:space="preserve">10.1145/3786167.3788412</t>
  </si>
  <si>
    <t xml:space="preserve">Exclusion (i): no security analysis (configuration content, no security analysis)</t>
  </si>
  <si>
    <t xml:space="preserve">A102</t>
  </si>
  <si>
    <t xml:space="preserve">Protecting Private Code in IDE Autocomplete using Differential Privacy</t>
  </si>
  <si>
    <t xml:space="preserve">IDE @ ICSE</t>
  </si>
  <si>
    <t xml:space="preserve">10.1145/3786151.3788603</t>
  </si>
  <si>
    <t xml:space="preserve">Defense against leakage of user code</t>
  </si>
  <si>
    <t xml:space="preserve">A112</t>
  </si>
  <si>
    <t xml:space="preserve">Hedwig: Dynamic Autonomy for Coding Agents Under Local Oversight</t>
  </si>
  <si>
    <t xml:space="preserve">10.1145/3786335.3813223</t>
  </si>
  <si>
    <t xml:space="preserve">Exclusion (i): no security analysis (autonomy UX, no security evaluation)</t>
  </si>
  <si>
    <t xml:space="preserve">A116</t>
  </si>
  <si>
    <t xml:space="preserve">10.1145/3793302.3793352</t>
  </si>
  <si>
    <t xml:space="preserve">Injection through issue/bug reports</t>
  </si>
  <si>
    <t xml:space="preserve">T4</t>
  </si>
  <si>
    <t xml:space="preserve">Second T4 primary study</t>
  </si>
  <si>
    <t xml:space="preserve">A118</t>
  </si>
  <si>
    <t xml:space="preserve">What Breaks When LLMs Code? Characterizing Operational Safety Failures of Agentic Code Assistants</t>
  </si>
  <si>
    <t xml:space="preserve">10.1145/3832783.3834393</t>
  </si>
  <si>
    <t xml:space="preserve">Operational-safety failures of agents</t>
  </si>
  <si>
    <t xml:space="preserve">T5</t>
  </si>
  <si>
    <t xml:space="preserve">A125</t>
  </si>
  <si>
    <t xml:space="preserve">Risk Assessment Framework for Code LLMs via Leveraging Internal States</t>
  </si>
  <si>
    <t xml:space="preserve">10.1145/3696630.3728566</t>
  </si>
  <si>
    <t xml:space="preserve">Defense (risk detection)</t>
  </si>
  <si>
    <t xml:space="preserve">A129</t>
  </si>
  <si>
    <t xml:space="preserve">A131</t>
  </si>
  <si>
    <t xml:space="preserve">How Effective Are Neural Networks for Fixing Security Vulnerabilities</t>
  </si>
  <si>
    <t xml:space="preserve">10.1145/3597926.3598135</t>
  </si>
  <si>
    <t xml:space="preserve">A134</t>
  </si>
  <si>
    <t xml:space="preserve">Security Weaknesses of Copilot-Generated Code in GitHub Projects: An Empirical Study</t>
  </si>
  <si>
    <t xml:space="preserve">10.1145/3716848</t>
  </si>
  <si>
    <t xml:space="preserve">Fu et al.</t>
  </si>
  <si>
    <t xml:space="preserve">A135</t>
  </si>
  <si>
    <t xml:space="preserve">A User-centered Security Evaluation of Copilot</t>
  </si>
  <si>
    <t xml:space="preserve">A138</t>
  </si>
  <si>
    <t xml:space="preserve">Asleep at the Keyboard? (CACM version)</t>
  </si>
  <si>
    <t xml:space="preserve">CACM</t>
  </si>
  <si>
    <t xml:space="preserve">10.1145/3610721</t>
  </si>
  <si>
    <t xml:space="preserve">P10 (journal version)</t>
  </si>
  <si>
    <t xml:space="preserve">A139</t>
  </si>
  <si>
    <t xml:space="preserve">Ecosystem of Large Language Models for Code</t>
  </si>
  <si>
    <t xml:space="preserve">10.1145/3731753</t>
  </si>
  <si>
    <t xml:space="preserve">Exclusion (iii): model/LLM-framework supply chain</t>
  </si>
  <si>
    <t xml:space="preserve">A140</t>
  </si>
  <si>
    <t xml:space="preserve">CoProtector: Protect Open-Source Code against Unauthorized Training Usage with Data Poisoning</t>
  </si>
  <si>
    <t xml:space="preserve">WWW</t>
  </si>
  <si>
    <t xml:space="preserve">10.1145/3485447.3512225</t>
  </si>
  <si>
    <t xml:space="preserve">A143</t>
  </si>
  <si>
    <t xml:space="preserve">"Impossible to Hide Secret ...": Uncovering Security and Privacy Issues in LLM-Native IDEs</t>
  </si>
  <si>
    <t xml:space="preserve">10.1145/3832783.3837429</t>
  </si>
  <si>
    <t xml:space="preserve">Security/privacy measurement of agentic IDEs</t>
  </si>
  <si>
    <t xml:space="preserve">A144</t>
  </si>
  <si>
    <t xml:space="preserve">10.1145/3696630.3728609</t>
  </si>
  <si>
    <t xml:space="preserve">Defense (co-decoding)</t>
  </si>
  <si>
    <t xml:space="preserve">A145</t>
  </si>
  <si>
    <t xml:space="preserve">SACMAT (WIP)</t>
  </si>
  <si>
    <t xml:space="preserve">10.1145/3734436.3734459</t>
  </si>
  <si>
    <t xml:space="preserve">Vulnerable context propagates to output</t>
  </si>
  <si>
    <t xml:space="preserve">T3, T7</t>
  </si>
  <si>
    <t xml:space="preserve">A146</t>
  </si>
  <si>
    <t xml:space="preserve">Model Editing for LLMs4Code: How Far are We?</t>
  </si>
  <si>
    <t xml:space="preserve">10.1109/ICSE55347.2025.00049</t>
  </si>
  <si>
    <t xml:space="preserve">Not the known model-editing-for-secure-code paper</t>
  </si>
  <si>
    <t xml:space="preserve">A153</t>
  </si>
  <si>
    <t xml:space="preserve">10.1145/3672608.3707778</t>
  </si>
  <si>
    <t xml:space="preserve">Developer survey on security</t>
  </si>
  <si>
    <t xml:space="preserve">A155</t>
  </si>
  <si>
    <t xml:space="preserve">A158</t>
  </si>
  <si>
    <t xml:space="preserve">Comment Traps: How Defective Commented-Out Code Augment Defects in AI-Assisted Code Generation</t>
  </si>
  <si>
    <t xml:space="preserve">PACMSE</t>
  </si>
  <si>
    <t xml:space="preserve">10.1145/3797102</t>
  </si>
  <si>
    <t xml:space="preserve">Full abstract: defective commented-out context raises defect rate to 58.17%</t>
  </si>
  <si>
    <t xml:space="preserve">A167</t>
  </si>
  <si>
    <t xml:space="preserve">10.1145/3793302.3793569</t>
  </si>
  <si>
    <t xml:space="preserve">Exclusion (i): no security analysis (CI reliability)</t>
  </si>
  <si>
    <t xml:space="preserve">N1</t>
  </si>
  <si>
    <t xml:space="preserve">D11 (ACM)</t>
  </si>
  <si>
    <t xml:space="preserve">Defending Code Language Models against Backdoor Attacks with Deceptive Cross-Entropy Loss</t>
  </si>
  <si>
    <t xml:space="preserve">10.1145/3728639</t>
  </si>
  <si>
    <t xml:space="preserve">Backdoor defense</t>
  </si>
  <si>
    <t xml:space="preserve">N6</t>
  </si>
  <si>
    <t xml:space="preserve">Show Me Your Code! Kill Code Poisoning: A Lightweight Method Based on Code Naturalness</t>
  </si>
  <si>
    <t xml:space="preserve">10.1109/ICSE55347.2025.00247</t>
  </si>
  <si>
    <t xml:space="preserve">Poisoning defense</t>
  </si>
  <si>
    <t xml:space="preserve">Also returned by D12 (M38); TSE 2026 extension M39</t>
  </si>
  <si>
    <t xml:space="preserve">N12</t>
  </si>
  <si>
    <t xml:space="preserve">Scrub It Out! Erasing Sensitive Memorization in Code Language Models via Machine Unlearning</t>
  </si>
  <si>
    <t xml:space="preserve">10.1145/3744916.3764573</t>
  </si>
  <si>
    <t xml:space="preserve">Defense against memorized secrets</t>
  </si>
  <si>
    <t xml:space="preserve">N8</t>
  </si>
  <si>
    <t xml:space="preserve">SecRL-Prune: RL-Based Pruning of CodeLLMs for Preserving Adversarial Code Mutation</t>
  </si>
  <si>
    <t xml:space="preserve">CODASPY</t>
  </si>
  <si>
    <t xml:space="preserve">10.1145/3800506.3803508</t>
  </si>
  <si>
    <t xml:space="preserve">Offensive malware mutation; not the assistant pipeline</t>
  </si>
  <si>
    <t xml:space="preserve">M2</t>
  </si>
  <si>
    <t xml:space="preserve">D12 (IEEE)</t>
  </si>
  <si>
    <t xml:space="preserve">Securing Code Understanding: Detecting Natural Backdoor Vulnerability in Code Language Models</t>
  </si>
  <si>
    <t xml:space="preserve">10.1109/TSE.2026.3704372</t>
  </si>
  <si>
    <t xml:space="preserve">Code-understanding tasks only; no generated supply-chain artifact</t>
  </si>
  <si>
    <t xml:space="preserve">M22</t>
  </si>
  <si>
    <t xml:space="preserve">Semantic Consensus Decoding: Backdoor Defense for Verilog Code Generation</t>
  </si>
  <si>
    <t xml:space="preserve">10.1109/TSE.2026.3713510</t>
  </si>
  <si>
    <t xml:space="preserve">Backdoor defense for code generation</t>
  </si>
  <si>
    <t xml:space="preserve">M26</t>
  </si>
  <si>
    <t xml:space="preserve">Efficient Avoidance of Vulnerabilities in Auto-completed Smart Contract Code Using Vulnerability-constrained Decoding</t>
  </si>
  <si>
    <t xml:space="preserve">10.1109/ISSRE59848.2023.00035</t>
  </si>
  <si>
    <t xml:space="preserve">Defense (constrained decoding)</t>
  </si>
  <si>
    <t xml:space="preserve">M36</t>
  </si>
  <si>
    <t xml:space="preserve">How Much Do Code Language Models Remember? An Investigation on Data Extraction Attacks Before and After Fine-tuning</t>
  </si>
  <si>
    <t xml:space="preserve">10.1109/MSR66628.2025.00080</t>
  </si>
  <si>
    <t xml:space="preserve">Training-data extraction</t>
  </si>
  <si>
    <t xml:space="preserve">M38</t>
  </si>
  <si>
    <t xml:space="preserve">Show Me Your Code! Kill Code Poisoning (IEEE copy)</t>
  </si>
  <si>
    <t xml:space="preserve">M39</t>
  </si>
  <si>
    <t xml:space="preserve">A Lightweight Defense Against Code Poisoning Attacks Based on Code Naturalness</t>
  </si>
  <si>
    <t xml:space="preserve">10.1109/TSE.2026.3705037</t>
  </si>
  <si>
    <t xml:space="preserve">Exclusion (iv): journal extension of N6; coded once under N6</t>
  </si>
  <si>
    <t xml:space="preserve">M42</t>
  </si>
  <si>
    <t xml:space="preserve">Gotcha! This Model Uses My Code! Evaluating Membership Leakage Risks in Code Models</t>
  </si>
  <si>
    <t xml:space="preserve">10.1109/TSE.2024.3482719</t>
  </si>
  <si>
    <t xml:space="preserve">M54</t>
  </si>
  <si>
    <t xml:space="preserve">Evaluating Language Models on Infrastructure-as-Code Development</t>
  </si>
  <si>
    <t xml:space="preserve">IEEE Cloud Summit</t>
  </si>
  <si>
    <t xml:space="preserve">10.1109/CloudSummit68932.2026.00021</t>
  </si>
  <si>
    <t xml:space="preserve">M57</t>
  </si>
  <si>
    <t xml:space="preserve">How Does Quantization Impact Privacy Risk on LLMs for Code?</t>
  </si>
  <si>
    <t xml:space="preserve">10.1109/AIware69974.2025.00013</t>
  </si>
  <si>
    <t xml:space="preserve">Credential/PII leakage risk</t>
  </si>
  <si>
    <t xml:space="preserve">Records screened at abstract stage</t>
  </si>
  <si>
    <t xml:space="preserve">Of which D09/D10 (main runs)</t>
  </si>
  <si>
    <t xml:space="preserve">Of which D11/D12 (delta runs, new records only)</t>
  </si>
  <si>
    <t xml:space="preserve">Title stage: every other record of D09 (465), D10 (210), D11 (30) and D12 (61) was excluded on title or was already screened. All 22 items first marked 'full-text check' were resolved from the full abstract on the IEEE/ACM record page (see Note column). T7 scoping rule (decided 2026-10-27, after screening, and reported as a protocol amendment): a T7 study is coded individually if it (a) evaluates an agent or a deployed workflow (CI/CD, repository), or (b) appears at a top security/SE venue (S&amp;P, CCS, USENIX Sec, NDSS, ACSAC, AsiaCCS, SaTML, ICSE, FSE, ASE, ISSTA, TOSEM, TSE, TDSC, TIFS, CHI; main tracks), or (c) contributes a reusable benchmark or dataset. Other T7 studies are counted and characterized in aggregate. Single screener (Claude); second screener still required.</t>
  </si>
  <si>
    <t xml:space="preserve">Record ID</t>
  </si>
  <si>
    <t xml:space="preserve">Authors (as retrieved)</t>
  </si>
  <si>
    <t xml:space="preserve">Venue / status</t>
  </si>
  <si>
    <t xml:space="preserve">Identifier / URL</t>
  </si>
  <si>
    <t xml:space="preserve">Record type</t>
  </si>
  <si>
    <t xml:space="preserve">Decision</t>
  </si>
  <si>
    <t xml:space="preserve">Threat class (provisional)</t>
  </si>
  <si>
    <t xml:space="preserve">Verification note</t>
  </si>
  <si>
    <t xml:space="preserve">P01</t>
  </si>
  <si>
    <t xml:space="preserve">We Have a Package for You! A Comprehensive Analysis of Package Hallucinations by Code Generating LLMs</t>
  </si>
  <si>
    <t xml:space="preserve">Spracklen, Wijewickrama, Sakib, Maiti, Viswanath, Jadliwala</t>
  </si>
  <si>
    <t xml:space="preserve">USENIX Security 2025</t>
  </si>
  <si>
    <t xml:space="preserve">https://www.usenix.org/conference/usenixsecurity25/presentation/spracklen</t>
  </si>
  <si>
    <t xml:space="preserve">Primary (academic)</t>
  </si>
  <si>
    <t xml:space="preserve">Measures package hallucination by code LLMs and evaluates mitigations</t>
  </si>
  <si>
    <t xml:space="preserve">T1; defense (S2)</t>
  </si>
  <si>
    <t xml:space="preserve">Venue confirmed on usenix.org</t>
  </si>
  <si>
    <t xml:space="preserve">P02</t>
  </si>
  <si>
    <t xml:space="preserve">The Range Shrinks, the Threat Remains: Re-evaluating LLM Package Hallucinations on the 2026 Frontier-Model Cohort</t>
  </si>
  <si>
    <t xml:space="preserve">Churilov</t>
  </si>
  <si>
    <t xml:space="preserve">arXiv preprint (not peer reviewed)</t>
  </si>
  <si>
    <t xml:space="preserve">arXiv:2605.17062</t>
  </si>
  <si>
    <t xml:space="preserve">Replicates P01 on five 2026 frontier models</t>
  </si>
  <si>
    <t xml:space="preserve">arXiv ID seen in index; not peer reviewed</t>
  </si>
  <si>
    <t xml:space="preserve">P03</t>
  </si>
  <si>
    <t xml:space="preserve">Correct Code, Vulnerable Dependencies: A Large Scale Measurement Study of LLM-Specified Library Versions</t>
  </si>
  <si>
    <t xml:space="preserve">Wang, Wu, Ling, Luo, Zhao</t>
  </si>
  <si>
    <t xml:space="preserve">arXiv preprint</t>
  </si>
  <si>
    <t xml:space="preserve">arXiv:2605.06279</t>
  </si>
  <si>
    <t xml:space="preserve">Measures CVE exposure of library versions chosen by LLMs</t>
  </si>
  <si>
    <t xml:space="preserve">Authors from alphaXiv/SOTAVerified listing</t>
  </si>
  <si>
    <t xml:space="preserve">P04</t>
  </si>
  <si>
    <t xml:space="preserve">Investigating Security Implications of Automatically Generated Code on the Software Supply Chain</t>
  </si>
  <si>
    <t xml:space="preserve">Li, Gao</t>
  </si>
  <si>
    <t xml:space="preserve">arXiv preprint (venue not confirmed)</t>
  </si>
  <si>
    <t xml:space="preserve">arXiv:2509.20277</t>
  </si>
  <si>
    <t xml:space="preserve">Supply-chain threats in LLM-generated code and CI configs; proposes SSCGuard</t>
  </si>
  <si>
    <t xml:space="preserve">T1, T2; defense (S2/S3)</t>
  </si>
  <si>
    <t xml:space="preserve">Check whether published at a venue</t>
  </si>
  <si>
    <t xml:space="preserve">P05</t>
  </si>
  <si>
    <t xml:space="preserve">QueryIPI: Query-agnostic Indirect Prompt Injection on Coding Agents</t>
  </si>
  <si>
    <t xml:space="preserve">Xie, Liu, Luo, Zhang, Zhang, Li, Chen, Wang, She</t>
  </si>
  <si>
    <t xml:space="preserve">arXiv:2510.23675</t>
  </si>
  <si>
    <t xml:space="preserve">Malicious tool descriptions hijack IDE coding agents</t>
  </si>
  <si>
    <t xml:space="preserve">arXiv abstract page retrieved</t>
  </si>
  <si>
    <t xml:space="preserve">P06</t>
  </si>
  <si>
    <t xml:space="preserve">SkillJect: Automating Stealthy Skill-Based Prompt Injection for Coding Agents with Trace-Driven Closed-Loop Refinement</t>
  </si>
  <si>
    <t xml:space="preserve">Jia et al. (8 authors)</t>
  </si>
  <si>
    <t xml:space="preserve">arXiv:2602.14211</t>
  </si>
  <si>
    <t xml:space="preserve">Poisoned agent skills inject coding agents</t>
  </si>
  <si>
    <t xml:space="preserve">Full author list to copy from arXiv</t>
  </si>
  <si>
    <t xml:space="preserve">P07</t>
  </si>
  <si>
    <t xml:space="preserve">RepoGuardBench: Repository-Borne Prompt Injection Attacks and Lightweight Defenses for Local Coding Agents</t>
  </si>
  <si>
    <t xml:space="preserve">Li, D. (per Lacuna listing; confirm on OpenReview)</t>
  </si>
  <si>
    <t xml:space="preserve">DL4C workshop at ICML 2026</t>
  </si>
  <si>
    <t xml:space="preserve">https://icml.cc/virtual/2026/82802</t>
  </si>
  <si>
    <t xml:space="preserve">prior scoping</t>
  </si>
  <si>
    <t xml:space="preserve">Benchmark of repository-borne injection and defenses for coding agents</t>
  </si>
  <si>
    <t xml:space="preserve">T3; defense (TB1/TB2)</t>
  </si>
  <si>
    <t xml:space="preserve">Venue corrected 27 Oct: workshop, not main ICML. Confirm author list on OpenReview</t>
  </si>
  <si>
    <t xml:space="preserve">P08</t>
  </si>
  <si>
    <t xml:space="preserve">IssueTrojanBench: Benchmarking AI Coding Agents Against Malicious Issue Requests</t>
  </si>
  <si>
    <t xml:space="preserve">(arXiv page rate-limited; add authors)</t>
  </si>
  <si>
    <t xml:space="preserve">arXiv:2607.20759</t>
  </si>
  <si>
    <t xml:space="preserve">Q10 + verification search</t>
  </si>
  <si>
    <t xml:space="preserve">Issue-borne injection against coding agents: 696 variants, 6 agent-model configs, 4,176 runs, 66.5% unsafe-action rate</t>
  </si>
  <si>
    <t xml:space="preserve">T4, T2</t>
  </si>
  <si>
    <t xml:space="preserve">arXiv ID confirmed 27 Oct; figures from promptfoo catalog entry; read full text</t>
  </si>
  <si>
    <t xml:space="preserve">P09</t>
  </si>
  <si>
    <t xml:space="preserve">MCPTox: A Benchmark for Tool Poisoning on Real-World MCP Servers</t>
  </si>
  <si>
    <t xml:space="preserve">Wang Z. et al.</t>
  </si>
  <si>
    <t xml:space="preserve">AAAI 2026</t>
  </si>
  <si>
    <t xml:space="preserve">https://ojs.aaai.org/index.php/AAAI/article/view/40895 ; arXiv:2508.14925</t>
  </si>
  <si>
    <t xml:space="preserve">Tool poisoning through third-party MCP servers, a component coding agents install; general agents, borderline</t>
  </si>
  <si>
    <t xml:space="preserve">Borderline: not coding-specific. Test count differs between sources (1,348 vs 1,497); check final version</t>
  </si>
  <si>
    <t xml:space="preserve">Pearce, Ahmad, Tan, Dolan-Gavitt, Karri</t>
  </si>
  <si>
    <t xml:space="preserve">IEEE S&amp;P 2022</t>
  </si>
  <si>
    <t xml:space="preserve">arXiv:2108.09293</t>
  </si>
  <si>
    <t xml:space="preserve">Security of Copilot completions on CWE scenarios</t>
  </si>
  <si>
    <t xml:space="preserve">Venue from memory; confirm on IEEE Xplore</t>
  </si>
  <si>
    <t xml:space="preserve">P11</t>
  </si>
  <si>
    <t xml:space="preserve">Perry, Srivastava, Kumar, Boneh</t>
  </si>
  <si>
    <t xml:space="preserve">ACM CCS 2023</t>
  </si>
  <si>
    <t xml:space="preserve">doi:10.1145/3576915.3623157 ; arXiv:2211.03622</t>
  </si>
  <si>
    <t xml:space="preserve">User study: AI assistance and code security</t>
  </si>
  <si>
    <t xml:space="preserve">DOI seen in retrieved citation</t>
  </si>
  <si>
    <t xml:space="preserve">P12</t>
  </si>
  <si>
    <t xml:space="preserve">Fu, Liang, Tahir, Li, Shahin, Yu, Chen</t>
  </si>
  <si>
    <t xml:space="preserve">arXiv:2310.02059</t>
  </si>
  <si>
    <t xml:space="preserve">Security weaknesses in AI-generated code found in public GitHub projects</t>
  </si>
  <si>
    <t xml:space="preserve">Confirmed on arXiv v4: 733 snippets, 200 (27.3%) with weaknesses</t>
  </si>
  <si>
    <t xml:space="preserve">P13</t>
  </si>
  <si>
    <t xml:space="preserve">Your Code Secret Belongs to Me: Neural Code Completion Tools Can Memorize Hard-coded Credentials</t>
  </si>
  <si>
    <t xml:space="preserve">Huang, Li, Wu, Zhang, Lyu</t>
  </si>
  <si>
    <t xml:space="preserve">FSE 2024</t>
  </si>
  <si>
    <t xml:space="preserve">arXiv:2309.07639</t>
  </si>
  <si>
    <t xml:space="preserve">Extraction of memorized credentials from code completion tools</t>
  </si>
  <si>
    <t xml:space="preserve">Venue confirmed on esec-fse.org</t>
  </si>
  <si>
    <t xml:space="preserve">P14</t>
  </si>
  <si>
    <t xml:space="preserve">You Autocomplete Me: Poisoning Vulnerabilities in Neural Code Completion</t>
  </si>
  <si>
    <t xml:space="preserve">Schuster, Song, Tromer, Shmatikov</t>
  </si>
  <si>
    <t xml:space="preserve">USENIX Security 2021</t>
  </si>
  <si>
    <t xml:space="preserve">https://usenix.org/conference/usenixsecurity21/presentation/schuster</t>
  </si>
  <si>
    <t xml:space="preserve">Data and model poisoning of code autocompleters</t>
  </si>
  <si>
    <t xml:space="preserve">Aghakhani et al.</t>
  </si>
  <si>
    <t xml:space="preserve">arXiv 2023 preprint; Microsoft Research publication page</t>
  </si>
  <si>
    <t xml:space="preserve">Covert poisoning of code-suggestion models</t>
  </si>
  <si>
    <t xml:space="preserve">Venue confirmed via NSF PAR record 10524825; authors to copy from IEEE Xplore</t>
  </si>
  <si>
    <t xml:space="preserve">P16</t>
  </si>
  <si>
    <t xml:space="preserve">An LLM-Assisted Easy-to-Trigger Backdoor Attack on Code Completion Models (CodeBreaker)</t>
  </si>
  <si>
    <t xml:space="preserve">Yan, Wang, Duan, Hong, Lee, Kim, Hong</t>
  </si>
  <si>
    <t xml:space="preserve">USENIX Security 2024</t>
  </si>
  <si>
    <t xml:space="preserve">https://www.usenix.org/conference/usenixsecurity24/presentation/yan</t>
  </si>
  <si>
    <t xml:space="preserve">Backdoor that evades vulnerability detection</t>
  </si>
  <si>
    <t xml:space="preserve">P17</t>
  </si>
  <si>
    <t xml:space="preserve">Large Language Models for Code: Security Hardening and Adversarial Testing (SVEN)</t>
  </si>
  <si>
    <t xml:space="preserve">He, Vechev</t>
  </si>
  <si>
    <t xml:space="preserve">arXiv:2302.05319</t>
  </si>
  <si>
    <t xml:space="preserve">Security hardening of code LMs</t>
  </si>
  <si>
    <t xml:space="preserve">Defense (S2) for T7</t>
  </si>
  <si>
    <t xml:space="preserve">Venue confirmed on ETH SRI publication page (ccs23)</t>
  </si>
  <si>
    <t xml:space="preserve">P18</t>
  </si>
  <si>
    <t xml:space="preserve">DeepGuard: Secure Code Generation via Multi-Layer Semantic Aggregation</t>
  </si>
  <si>
    <t xml:space="preserve">Huang, Liu, Wu, Yin, Li, Bi, Mu, Zhang, Yan</t>
  </si>
  <si>
    <t xml:space="preserve">ACL 2026</t>
  </si>
  <si>
    <t xml:space="preserve">2026.acl-long.907 ; arXiv:2604.09089</t>
  </si>
  <si>
    <t xml:space="preserve">Secure code generation defense</t>
  </si>
  <si>
    <t xml:space="preserve">ACL Anthology ID seen</t>
  </si>
  <si>
    <t xml:space="preserve">Li, Yan, Zhang, Liu, Liu, Zhang, Chen, Lo</t>
  </si>
  <si>
    <t xml:space="preserve">doi:10.1145/3650212.3680371</t>
  </si>
  <si>
    <t xml:space="preserve">Q11; D10</t>
  </si>
  <si>
    <t xml:space="preserve">Decode-time security hardening; venue and authors confirmed from the ACM record (2026-10-27)</t>
  </si>
  <si>
    <t xml:space="preserve">P20</t>
  </si>
  <si>
    <t xml:space="preserve">Constrained Decoding for Secure Code Generation</t>
  </si>
  <si>
    <t xml:space="preserve">Fu, Baker, Ding, Chen</t>
  </si>
  <si>
    <t xml:space="preserve">arXiv:2405.00218</t>
  </si>
  <si>
    <t xml:space="preserve">Secure-and-correct decoding defense and evaluation</t>
  </si>
  <si>
    <t xml:space="preserve">Authors confirmed from arXiv PDF; venue not stated</t>
  </si>
  <si>
    <t xml:space="preserve">P21</t>
  </si>
  <si>
    <t xml:space="preserve">Understanding and Improving Model Editing for Secure Code Generation</t>
  </si>
  <si>
    <t xml:space="preserve">Sun, Zhang, Chen, Yang, Tan, Lo</t>
  </si>
  <si>
    <t xml:space="preserve">Proc. ACM Softw. Eng. (ISSTA 2026), doi:10.1145/3832254</t>
  </si>
  <si>
    <t xml:space="preserve">arXiv:2608.06848</t>
  </si>
  <si>
    <t xml:space="preserve">Model editing as code-security hardening</t>
  </si>
  <si>
    <t xml:space="preserve">Confirmed from arXiv PDF</t>
  </si>
  <si>
    <t xml:space="preserve">P22</t>
  </si>
  <si>
    <t xml:space="preserve">Is Vibe Coding Safe? Benchmarking Vulnerability of Agent-Generated Code in Real-World Tasks (SusVibes)</t>
  </si>
  <si>
    <t xml:space="preserve">Zhao et al.</t>
  </si>
  <si>
    <t xml:space="preserve">ICML 2026 (PMLR v306)</t>
  </si>
  <si>
    <t xml:space="preserve">https://proceedings.mlr.press/v306/zhao26ax.html</t>
  </si>
  <si>
    <t xml:space="preserve">Security of code produced by coding agents on real tasks</t>
  </si>
  <si>
    <t xml:space="preserve">Proceedings page retrieved</t>
  </si>
  <si>
    <t xml:space="preserve">P23</t>
  </si>
  <si>
    <t xml:space="preserve">Understanding the (In)Security of Vibe-Coded Applications</t>
  </si>
  <si>
    <t xml:space="preserve">Deng, Fan, Meng</t>
  </si>
  <si>
    <t xml:space="preserve">arXiv:2606.23130</t>
  </si>
  <si>
    <t xml:space="preserve">Vulnerabilities in deployed vibe-coded apps and their causes</t>
  </si>
  <si>
    <t xml:space="preserve">Confirmed on arXiv: 1,471 vulnerabilities in 200 audited apps (from 10,517); 180 of 200 (90%) with at least one</t>
  </si>
  <si>
    <t xml:space="preserve">P24</t>
  </si>
  <si>
    <t xml:space="preserve">Insights into Security-Related AI-Generated Pull Requests</t>
  </si>
  <si>
    <t xml:space="preserve">Rabbi, Turzo, Champa, Zibran</t>
  </si>
  <si>
    <t xml:space="preserve">EASE 2026</t>
  </si>
  <si>
    <t xml:space="preserve">arXiv:2604.19965</t>
  </si>
  <si>
    <t xml:space="preserve">Security weaknesses and review outcomes of agent-authored PRs</t>
  </si>
  <si>
    <t xml:space="preserve">T7 (S5 review)</t>
  </si>
  <si>
    <t xml:space="preserve">Confirmed: 33,596 AI PRs, 675 security-related</t>
  </si>
  <si>
    <t xml:space="preserve">P25</t>
  </si>
  <si>
    <t xml:space="preserve">SABER: Benchmarking Operational Safety of LLM Coding Agents in Stateful Project Workspaces</t>
  </si>
  <si>
    <t xml:space="preserve">Hu, Tang, Wang, Zhao, Zhang, Qing, Yao, Huang, Zhang, Ji</t>
  </si>
  <si>
    <t xml:space="preserve">arXiv:2606.01317</t>
  </si>
  <si>
    <t xml:space="preserve">Coding-agent safety incl. instructions embedded in project artifacts</t>
  </si>
  <si>
    <t xml:space="preserve">T3; unsafe actions (A0)</t>
  </si>
  <si>
    <t xml:space="preserve">P26</t>
  </si>
  <si>
    <t xml:space="preserve">Authority Is Not a String: A Capability-Scoped Harness for Prompt-Injection-Resistant Coding Agents (CapScope)</t>
  </si>
  <si>
    <t xml:space="preserve">Bouras, Dai, Mechtaev</t>
  </si>
  <si>
    <t xml:space="preserve">LMPL 2026 workshop (ACM SIGPLAN)</t>
  </si>
  <si>
    <t xml:space="preserve">arXiv:2609.08371</t>
  </si>
  <si>
    <t xml:space="preserve">Capability-based tool authorization for coding agents</t>
  </si>
  <si>
    <t xml:space="preserve">Defense (TB2) for T3</t>
  </si>
  <si>
    <t xml:space="preserve">P27</t>
  </si>
  <si>
    <t xml:space="preserve">Pincer: Resource Authorization for Agents using a Digital Twin</t>
  </si>
  <si>
    <t xml:space="preserve">Rathee, Stepanov, Madabhavi, Zhu, Popa, Stoica</t>
  </si>
  <si>
    <t xml:space="preserve">arXiv:2610.02569</t>
  </si>
  <si>
    <t xml:space="preserve">Resource-layer authorization for coding agents (Claude, Codex)</t>
  </si>
  <si>
    <t xml:space="preserve">Defense (TB2)</t>
  </si>
  <si>
    <t xml:space="preserve">Confirmed from arXiv PDF; no venue stated</t>
  </si>
  <si>
    <t xml:space="preserve">X01</t>
  </si>
  <si>
    <t xml:space="preserve">RedCode: Risky Code Execution and Generation Benchmark for Code Agents</t>
  </si>
  <si>
    <t xml:space="preserve">Guo et al. (8 authors)</t>
  </si>
  <si>
    <t xml:space="preserve">arXiv:2411.07781</t>
  </si>
  <si>
    <t xml:space="preserve">User-directed misuse and risky execution, not a supply-chain compromise path</t>
  </si>
  <si>
    <t xml:space="preserve">X02</t>
  </si>
  <si>
    <t xml:space="preserve">RvB: Automating AI System Hardening via Iterative Red-Blue Games</t>
  </si>
  <si>
    <t xml:space="preserve">(not retrieved)</t>
  </si>
  <si>
    <t xml:space="preserve">arXiv:2601.19726</t>
  </si>
  <si>
    <t xml:space="preserve">General AI-system hardening; not about AI-generated code or coding agents</t>
  </si>
  <si>
    <t xml:space="preserve">X03</t>
  </si>
  <si>
    <t xml:space="preserve">An Empirical Study of Vulnerable Package Dependencies in LLM Repositories</t>
  </si>
  <si>
    <t xml:space="preserve">arXiv:2508.21417</t>
  </si>
  <si>
    <t xml:space="preserve">Exclusion (iii): dependencies of LLM frameworks, not coding-agent pipeline</t>
  </si>
  <si>
    <t xml:space="preserve">X04</t>
  </si>
  <si>
    <t xml:space="preserve">Demystifying LLM Supply Chain Vulnerabilities in the Wild</t>
  </si>
  <si>
    <t xml:space="preserve">arXiv:2502.12497</t>
  </si>
  <si>
    <t xml:space="preserve">Exclusion (iii): vulnerabilities in LLM frameworks</t>
  </si>
  <si>
    <t xml:space="preserve">X05</t>
  </si>
  <si>
    <t xml:space="preserve">ATBench-CodeX / AgentDoG</t>
  </si>
  <si>
    <t xml:space="preserve">AI45Research</t>
  </si>
  <si>
    <t xml:space="preserve">Dataset card</t>
  </si>
  <si>
    <t xml:space="preserve">https://huggingface.co/datasets/AI45Research/ATBench-CodeX</t>
  </si>
  <si>
    <t xml:space="preserve">General agent-safety guardrail benchmark; no supply-chain focus</t>
  </si>
  <si>
    <t xml:space="preserve">X06</t>
  </si>
  <si>
    <t xml:space="preserve">AgentS4D; VulnGym; MTGuard; DDIPE (agent skills)</t>
  </si>
  <si>
    <t xml:space="preserve">(various)</t>
  </si>
  <si>
    <t xml:space="preserve">Seen only in an aggregator</t>
  </si>
  <si>
    <t xml:space="preserve">https://www.promptfoo.dev/lm-security-db/</t>
  </si>
  <si>
    <t xml:space="preserve">Q08, Q10</t>
  </si>
  <si>
    <t xml:space="preserve">Possibly in scope; primary sources not retrieved</t>
  </si>
  <si>
    <t xml:space="preserve">Locate primaries before screening</t>
  </si>
  <si>
    <t xml:space="preserve">C01</t>
  </si>
  <si>
    <t xml:space="preserve">StruQ: Defending Against Prompt Injection with Structured Queries</t>
  </si>
  <si>
    <t xml:space="preserve">Chen, Piet, Sitawarin, Wagner</t>
  </si>
  <si>
    <t xml:space="preserve">arXiv:2402.06363</t>
  </si>
  <si>
    <t xml:space="preserve">Context (general LLM/agent)</t>
  </si>
  <si>
    <t xml:space="preserve">Exclusion (ii): general LLM defense, not evaluated on coding agents; cited as background</t>
  </si>
  <si>
    <t xml:space="preserve">Defense (TB1) background</t>
  </si>
  <si>
    <t xml:space="preserve">C02</t>
  </si>
  <si>
    <t xml:space="preserve">Defeating Prompt Injections by Design (CaMeL)</t>
  </si>
  <si>
    <t xml:space="preserve">Debenedetti, Shumailov, Fan, Hayes, Carlini, Fabian, Kern, Shi, Terzis, Tramer</t>
  </si>
  <si>
    <t xml:space="preserve">arXiv:2503.18813</t>
  </si>
  <si>
    <t xml:space="preserve">Exclusion (ii): general agents (AgentDojo); cited as background</t>
  </si>
  <si>
    <t xml:space="preserve">Defense (TB1-TB2) background</t>
  </si>
  <si>
    <t xml:space="preserve">C03</t>
  </si>
  <si>
    <t xml:space="preserve">ChatInject; AttackEval</t>
  </si>
  <si>
    <t xml:space="preserve">arXiv preprints</t>
  </si>
  <si>
    <t xml:space="preserve">seen on huggingface.co papers listing</t>
  </si>
  <si>
    <t xml:space="preserve">Exclusion (ii): general prompt injection</t>
  </si>
  <si>
    <t xml:space="preserve">Chen, Sun, Fang, Chen, Ge, Han, Zhang, Liu, Chen, Xu</t>
  </si>
  <si>
    <t xml:space="preserve">arXiv:2410.15631</t>
  </si>
  <si>
    <t xml:space="preserve">Secondary study (68 papers); related work, not primary corpus</t>
  </si>
  <si>
    <t xml:space="preserve">S02</t>
  </si>
  <si>
    <t xml:space="preserve">From Vulnerabilities to Remediation: A Systematic Literature Review of LLMs in Code Security</t>
  </si>
  <si>
    <t xml:space="preserve">Basic, Giaretta</t>
  </si>
  <si>
    <t xml:space="preserve">arXiv:2412.15004</t>
  </si>
  <si>
    <t xml:space="preserve">Secondary study; related work, not primary corpus</t>
  </si>
  <si>
    <t xml:space="preserve">S03</t>
  </si>
  <si>
    <t xml:space="preserve">Prompt Injection Attacks on Agentic Coding Assistants: A Systematic Analysis of Vulnerabilities in Skills, Tools, and Protocol Ecosystems</t>
  </si>
  <si>
    <t xml:space="preserve">Maloyan, Namiot</t>
  </si>
  <si>
    <t xml:space="preserve">arXiv:2601.17548</t>
  </si>
  <si>
    <t xml:space="preserve">Snowball (Phase 3): source of the '78 studies' figure cited by CSA 2026a</t>
  </si>
  <si>
    <t xml:space="preserve">Secondary study (SoK of 78 sources); closest related work on T3/T5; used for backward snowballing</t>
  </si>
  <si>
    <t xml:space="preserve">P28</t>
  </si>
  <si>
    <t xml:space="preserve">"Your AI, My Shell": Demystifying Prompt Injection Attacks on Agentic AI Coding Editors (AIShellJack)</t>
  </si>
  <si>
    <t xml:space="preserve">Liu, Zhao, Lyu, Zhang, Wang, Lo</t>
  </si>
  <si>
    <t xml:space="preserve">arXiv:2509.22040</t>
  </si>
  <si>
    <t xml:space="preserve">Snowball (Phase 3) from S03</t>
  </si>
  <si>
    <t xml:space="preserve">Prompt injection via rule files and external resources in Cursor and GitHub Copilot; 314 payloads</t>
  </si>
  <si>
    <t xml:space="preserve">Figures from a third-party abstract summary; check against the PDF</t>
  </si>
  <si>
    <t xml:space="preserve">P29</t>
  </si>
  <si>
    <t xml:space="preserve">MCPSecBench: A Systematic Security Benchmark and Playground for Testing Model Context Protocols</t>
  </si>
  <si>
    <t xml:space="preserve">Yang, Wu, Chen</t>
  </si>
  <si>
    <t xml:space="preserve">arXiv:2508.13220</t>
  </si>
  <si>
    <t xml:space="preserve">MCP attack taxonomy (17 attack types, 4 surfaces) and benchmark across MCP hosts incl. Cursor</t>
  </si>
  <si>
    <t xml:space="preserve">C04</t>
  </si>
  <si>
    <t xml:space="preserve">The Attacker Moves Second: Stronger Adaptive Attacks Bypass Defenses Against LLM Jailbreaks and Prompt Injections</t>
  </si>
  <si>
    <t xml:space="preserve">Nasr, Carlini, Sitawarin, Schulhoff, Hayes, Ilie, Pluto, Song, Chaudhari, Shumailov, Thakurta, Xiao, Terzis, Tramer</t>
  </si>
  <si>
    <t xml:space="preserve">USENIX Security 2026</t>
  </si>
  <si>
    <t xml:space="preserve">arXiv:2510.09023</t>
  </si>
  <si>
    <t xml:space="preserve">Exclusion (ii): general LLM defenses; cited as background on adaptive attacks</t>
  </si>
  <si>
    <t xml:space="preserve">G01</t>
  </si>
  <si>
    <t xml:space="preserve">README Injection: Repository Files Hijacking AI Coding Assistants</t>
  </si>
  <si>
    <t xml:space="preserve">Cloud Security Alliance</t>
  </si>
  <si>
    <t xml:space="preserve">Research note, Mar 2026</t>
  </si>
  <si>
    <t xml:space="preserve">https://labs.cloudsecurityalliance.org/research/csa-research-note-readme-instruction-injection-ai-coding-age/</t>
  </si>
  <si>
    <t xml:space="preserve">Incident and prevalence evidence for repository injection</t>
  </si>
  <si>
    <t xml:space="preserve">G02</t>
  </si>
  <si>
    <t xml:space="preserve">Vibe Coding's Security Debt: The AI-Generated CVE Surge</t>
  </si>
  <si>
    <t xml:space="preserve">Research note, Apr 2026</t>
  </si>
  <si>
    <t xml:space="preserve">https://labs.cloudsecurityalliance.org/research/csa-research-note-ai-generated-code-vulnerability-surge-2026/</t>
  </si>
  <si>
    <t xml:space="preserve">Prevalence evidence (CVEs, leaked secrets)</t>
  </si>
  <si>
    <t xml:space="preserve">Underlying Veracode / Georgia Tech / Escape.tech sources not retrieved directly</t>
  </si>
  <si>
    <t xml:space="preserve">G03</t>
  </si>
  <si>
    <t xml:space="preserve">Clinejection: Compromising Cline's Production Releases just by Prompting an Issue Triager</t>
  </si>
  <si>
    <t xml:space="preserve">Khan</t>
  </si>
  <si>
    <t xml:space="preserve">Researcher write-up</t>
  </si>
  <si>
    <t xml:space="preserve">https://adnanthekhan.com/posts/clinejection/</t>
  </si>
  <si>
    <t xml:space="preserve">Real incident: issue-title injection to CI cache poisoning</t>
  </si>
  <si>
    <t xml:space="preserve">T4, T2, T6</t>
  </si>
  <si>
    <t xml:space="preserve">CSA note on the same incident also retrieved</t>
  </si>
  <si>
    <t xml:space="preserve">G04</t>
  </si>
  <si>
    <t xml:space="preserve">GitLost: prompt injection in GitHub Agentic Workflows</t>
  </si>
  <si>
    <t xml:space="preserve">Levi, S. (Noma Labs)</t>
  </si>
  <si>
    <t xml:space="preserve">Disclosure, 6 Jul 2026</t>
  </si>
  <si>
    <t xml:space="preserve">https://noma.security/noma-labs/gitlost-how-we-tricked-githubs-ai-agent-into-leaking-private-repos</t>
  </si>
  <si>
    <t xml:space="preserve">Real disclosure: public issue leads agent to leak private repo</t>
  </si>
  <si>
    <t xml:space="preserve">Primary post retrieved</t>
  </si>
  <si>
    <t xml:space="preserve">G05</t>
  </si>
  <si>
    <t xml:space="preserve">How Hidden Prompt Injections Can Hijack AI Code Assistants Like Cursor</t>
  </si>
  <si>
    <t xml:space="preserve">HiddenLayer</t>
  </si>
  <si>
    <t xml:space="preserve">Blog (year not shown)</t>
  </si>
  <si>
    <t xml:space="preserve">https://www.hiddenlayer.com/research/how-hidden-prompt-injections-can-hijack-ai-code-assistants-like-cursor</t>
  </si>
  <si>
    <t xml:space="preserve">End-to-end demo: README injection to key exfiltration</t>
  </si>
  <si>
    <t xml:space="preserve">Year to confirm</t>
  </si>
  <si>
    <t xml:space="preserve">G06</t>
  </si>
  <si>
    <t xml:space="preserve">Rules File Backdoor</t>
  </si>
  <si>
    <t xml:space="preserve">Pillar Security</t>
  </si>
  <si>
    <t xml:space="preserve">Disclosure, Mar 2025</t>
  </si>
  <si>
    <t xml:space="preserve">https://pillar.security/blog/new-vulnerability-in-github-copilot-and-cursor-how-hackers-can-weaponize-code-agents</t>
  </si>
  <si>
    <t xml:space="preserve">Hidden instructions in agent rule files</t>
  </si>
  <si>
    <t xml:space="preserve">G07</t>
  </si>
  <si>
    <t xml:space="preserve">IDEsaster</t>
  </si>
  <si>
    <t xml:space="preserve">Marzouk</t>
  </si>
  <si>
    <t xml:space="preserve">Disclosure, Dec 2025 (secondary coverage)</t>
  </si>
  <si>
    <t xml:space="preserve">https://thehackernews.com/2025/12/researchers-uncover-30-flaws-in-ai.html</t>
  </si>
  <si>
    <t xml:space="preserve">30+ vulnerabilities across AI IDEs, 24 CVEs</t>
  </si>
  <si>
    <t xml:space="preserve">Primary report not retrieved</t>
  </si>
  <si>
    <t xml:space="preserve">G08</t>
  </si>
  <si>
    <t xml:space="preserve">AI Coding Agent Sandbox Escapes: The Trust Handoff Flaw</t>
  </si>
  <si>
    <t xml:space="preserve">Cloud Security Alliance (on Pillar Security research)</t>
  </si>
  <si>
    <t xml:space="preserve">Research note, Jul 2026</t>
  </si>
  <si>
    <t xml:space="preserve">https://labs.cloudsecurityalliance.org/research/csa-research-note-ai-coding-agent-sandbox-escapes-20260722-c/</t>
  </si>
  <si>
    <t xml:space="preserve">Sandboxed agents cross boundaries via files trusted host tools consume</t>
  </si>
  <si>
    <t xml:space="preserve">TB2 defense failure; T3</t>
  </si>
  <si>
    <t xml:space="preserve">G09</t>
  </si>
  <si>
    <t xml:space="preserve">MCP Tool Poisoning</t>
  </si>
  <si>
    <t xml:space="preserve">OWASP</t>
  </si>
  <si>
    <t xml:space="preserve">Community attack page</t>
  </si>
  <si>
    <t xml:space="preserve">https://owasp.org/www-community/attacks/MCP_Tool_Poisoning</t>
  </si>
  <si>
    <t xml:space="preserve">Definition and mechanics of tool poisoning</t>
  </si>
  <si>
    <t xml:space="preserve">G10</t>
  </si>
  <si>
    <t xml:space="preserve">huggingface-cli hallucinated package experiment</t>
  </si>
  <si>
    <t xml:space="preserve">Lanyado (Lasso Security), via secondary</t>
  </si>
  <si>
    <t xml:space="preserve">Secondary coverage only</t>
  </si>
  <si>
    <t xml:space="preserve">https://concepts.dsebastien.net/concept/slopsquatting/</t>
  </si>
  <si>
    <t xml:space="preserve">In scope, but primary Lasso post not retrieved</t>
  </si>
  <si>
    <t xml:space="preserve">Retrieve primary post</t>
  </si>
  <si>
    <t xml:space="preserve">V01</t>
  </si>
  <si>
    <t xml:space="preserve">Vendor blogs and marketing (MintMCP, Endor Labs, Secure Code Warrior, Cycode, Doppler, GitGuardian, DryRun via grith, Astra, Tenzai, Kingbird, Invicti, NVIDIA guidance, third-party Codex blog)</t>
  </si>
  <si>
    <t xml:space="preserve">Vendor content</t>
  </si>
  <si>
    <t xml:space="preserve">various</t>
  </si>
  <si>
    <t xml:space="preserve">Q02, Q07, Q15, Q18, Q22</t>
  </si>
  <si>
    <t xml:space="preserve">Marketing or practitioner guidance without a reproducible method; GitGuardian blog duplicates P13</t>
  </si>
  <si>
    <t xml:space="preserve">Short name</t>
  </si>
  <si>
    <t xml:space="preserve">Type</t>
  </si>
  <si>
    <t xml:space="preserve">Primary threat (coder 1)</t>
  </si>
  <si>
    <t xml:space="preserve">Attack</t>
  </si>
  <si>
    <t xml:space="preserve">Benchmark</t>
  </si>
  <si>
    <t xml:space="preserve">Defense</t>
  </si>
  <si>
    <t xml:space="preserve">Attacker</t>
  </si>
  <si>
    <t xml:space="preserve">SDLC stages</t>
  </si>
  <si>
    <t xml:space="preserve">Max autonomy (L)</t>
  </si>
  <si>
    <t xml:space="preserve">Evaluated on agent</t>
  </si>
  <si>
    <t xml:space="preserve">Defense enforcement point</t>
  </si>
  <si>
    <t xml:space="preserve">Defense maturity</t>
  </si>
  <si>
    <t xml:space="preserve">Utility measured</t>
  </si>
  <si>
    <t xml:space="preserve">Adaptive attacker</t>
  </si>
  <si>
    <t xml:space="preserve">Artifacts released</t>
  </si>
  <si>
    <t xml:space="preserve">Evidence basis</t>
  </si>
  <si>
    <t xml:space="preserve">Needs full-text check</t>
  </si>
  <si>
    <t xml:space="preserve">Spracklen et al. 2025</t>
  </si>
  <si>
    <t xml:space="preserve">Academic</t>
  </si>
  <si>
    <t xml:space="preserve">Y</t>
  </si>
  <si>
    <t xml:space="preserve">A1 (+A0)</t>
  </si>
  <si>
    <t xml:space="preserve">S2,S3</t>
  </si>
  <si>
    <t xml:space="preserve">N</t>
  </si>
  <si>
    <t xml:space="preserve">S2 generation</t>
  </si>
  <si>
    <t xml:space="preserve">NS</t>
  </si>
  <si>
    <t xml:space="preserve">Abstract + USENIX page; poster</t>
  </si>
  <si>
    <t xml:space="preserve">Churilov 2026</t>
  </si>
  <si>
    <t xml:space="preserve">A1</t>
  </si>
  <si>
    <t xml:space="preserve">Abstract + news coverage</t>
  </si>
  <si>
    <t xml:space="preserve">Wang C. et al. 2026</t>
  </si>
  <si>
    <t xml:space="preserve">S3 dependency intake</t>
  </si>
  <si>
    <t xml:space="preserve">Abstract (PinTrace released on GitHub)</t>
  </si>
  <si>
    <t xml:space="preserve">Li &amp; Gao 2025</t>
  </si>
  <si>
    <t xml:space="preserve">S2,S3,S5</t>
  </si>
  <si>
    <t xml:space="preserve">S2 generation + S3 middleware</t>
  </si>
  <si>
    <t xml:space="preserve">Abstract + arXiv HTML intro</t>
  </si>
  <si>
    <t xml:space="preserve">Xie et al. 2025 (QueryIPI)</t>
  </si>
  <si>
    <t xml:space="preserve">S1,S2</t>
  </si>
  <si>
    <t xml:space="preserve">Abstract (iterative attack optimization; 5 simulated agents + transfer)</t>
  </si>
  <si>
    <t xml:space="preserve">Jia et al. 2026 (SkillJect)</t>
  </si>
  <si>
    <t xml:space="preserve">S1,S2,S4</t>
  </si>
  <si>
    <t xml:space="preserve">Abstract (closed-loop attack refinement)</t>
  </si>
  <si>
    <t xml:space="preserve">RepoGuardBench 2026 (DL4C@ICML)</t>
  </si>
  <si>
    <t xml:space="preserve">S2,S4</t>
  </si>
  <si>
    <t xml:space="preserve">TB1 context + TB2 action</t>
  </si>
  <si>
    <t xml:space="preserve">Abstract (2,340 runs; 8 defenses)</t>
  </si>
  <si>
    <t xml:space="preserve">IssueTrojanBench 2026</t>
  </si>
  <si>
    <t xml:space="preserve">S7</t>
  </si>
  <si>
    <t xml:space="preserve">Catalog entry + arXiv listing (696 variants, 4,176 runs, 66.5%)</t>
  </si>
  <si>
    <t xml:space="preserve">Wang Z. et al. 2026 (MCPTox)</t>
  </si>
  <si>
    <t xml:space="preserve">All</t>
  </si>
  <si>
    <t xml:space="preserve">Abstract (20 general agents; benchmark released)</t>
  </si>
  <si>
    <t xml:space="preserve">Pearce et al. 2022</t>
  </si>
  <si>
    <t xml:space="preserve">S2</t>
  </si>
  <si>
    <t xml:space="preserve">arXiv PDF method section</t>
  </si>
  <si>
    <t xml:space="preserve">Perry et al. 2023</t>
  </si>
  <si>
    <t xml:space="preserve">Abstract (apparatus and data released)</t>
  </si>
  <si>
    <t xml:space="preserve">Fu et al. 2023</t>
  </si>
  <si>
    <t xml:space="preserve">S2,S6</t>
  </si>
  <si>
    <t xml:space="preserve">S5 review (LLM-based fixing)</t>
  </si>
  <si>
    <t xml:space="preserve">TOSEM abstract (733 snippets; 29.5% Python, 24.2% JavaScript; 43 CWEs; Copilot Chat fixed up to 55.5%)</t>
  </si>
  <si>
    <t xml:space="preserve">Huang et al. 2024</t>
  </si>
  <si>
    <t xml:space="preserve">A0 (extraction by any user)</t>
  </si>
  <si>
    <t xml:space="preserve">Abstract + FSE page</t>
  </si>
  <si>
    <t xml:space="preserve">Schuster et al. 2021</t>
  </si>
  <si>
    <t xml:space="preserve">Upstream</t>
  </si>
  <si>
    <t xml:space="preserve">Upstream (data sanitization, evaluated)</t>
  </si>
  <si>
    <t xml:space="preserve">Abstract (existing defenses largely ineffective)</t>
  </si>
  <si>
    <t xml:space="preserve">Aghakhani et al. 2024 (TrojanPuzzle)</t>
  </si>
  <si>
    <t xml:space="preserve">Abstract (evades signature cleansing; code available)</t>
  </si>
  <si>
    <t xml:space="preserve">Yan et al. 2024 (CodeBreaker)</t>
  </si>
  <si>
    <t xml:space="preserve">Abstract (evades static and LLM-based detection)</t>
  </si>
  <si>
    <t xml:space="preserve">He &amp; Vechev 2023 (SVEN)</t>
  </si>
  <si>
    <t xml:space="preserve">Abstract (59.1% to 92.3% secure)</t>
  </si>
  <si>
    <t xml:space="preserve">Huang L. et al. 2026 (DeepGuard)</t>
  </si>
  <si>
    <t xml:space="preserve">Abstract (code public)</t>
  </si>
  <si>
    <t xml:space="preserve">Constrained decoding 2024</t>
  </si>
  <si>
    <t xml:space="preserve">arXiv PDF excerpt (secure-pass@1)</t>
  </si>
  <si>
    <t xml:space="preserve">Model editing for secure code 2026</t>
  </si>
  <si>
    <t xml:space="preserve">arXiv PDF excerpt</t>
  </si>
  <si>
    <t xml:space="preserve">Zhao et al. 2026 (SusVibes)</t>
  </si>
  <si>
    <t xml:space="preserve">S1 prompt (vulnerability hints)</t>
  </si>
  <si>
    <t xml:space="preserve">Abstract (61% correct, 10.5% secure; hints do not help)</t>
  </si>
  <si>
    <t xml:space="preserve">Vibe-coded apps study 2026</t>
  </si>
  <si>
    <t xml:space="preserve">S1 prompt / harness</t>
  </si>
  <si>
    <t xml:space="preserve">Conclusion excerpt + secondary summary</t>
  </si>
  <si>
    <t xml:space="preserve">Security-related AI PRs 2026</t>
  </si>
  <si>
    <t xml:space="preserve">S5</t>
  </si>
  <si>
    <t xml:space="preserve">EASE abstract (33k PRs, 675 security-related)</t>
  </si>
  <si>
    <t xml:space="preserve">SABER 2026</t>
  </si>
  <si>
    <t xml:space="preserve">A2 (+A0)</t>
  </si>
  <si>
    <t xml:space="preserve">S4</t>
  </si>
  <si>
    <t xml:space="preserve">CapScope 2026</t>
  </si>
  <si>
    <t xml:space="preserve">TB2 action (capabilities)</t>
  </si>
  <si>
    <t xml:space="preserve">arXiv PDF excerpt (300 runs)</t>
  </si>
  <si>
    <t xml:space="preserve">Pincer 2026</t>
  </si>
  <si>
    <t xml:space="preserve">TB2 action (resource layer)</t>
  </si>
  <si>
    <t xml:space="preserve">CSA README injection 2026</t>
  </si>
  <si>
    <t xml:space="preserve">Grey</t>
  </si>
  <si>
    <t xml:space="preserve">Research note</t>
  </si>
  <si>
    <t xml:space="preserve">CSA vibe coding debt 2026</t>
  </si>
  <si>
    <t xml:space="preserve">Clinejection 2026</t>
  </si>
  <si>
    <t xml:space="preserve">S5,S6,S7</t>
  </si>
  <si>
    <t xml:space="preserve">Primary write-up</t>
  </si>
  <si>
    <t xml:space="preserve">GitLost 2026</t>
  </si>
  <si>
    <t xml:space="preserve">Secondary coverage</t>
  </si>
  <si>
    <t xml:space="preserve">HiddenLayer Cursor injection</t>
  </si>
  <si>
    <t xml:space="preserve">S1,S4</t>
  </si>
  <si>
    <t xml:space="preserve">Blog</t>
  </si>
  <si>
    <t xml:space="preserve">Rules File Backdoor 2025</t>
  </si>
  <si>
    <t xml:space="preserve">Disclosure</t>
  </si>
  <si>
    <t xml:space="preserve">IDEsaster 2025</t>
  </si>
  <si>
    <t xml:space="preserve">CSA sandbox escapes 2026</t>
  </si>
  <si>
    <t xml:space="preserve">TB2 (failure analysis)</t>
  </si>
  <si>
    <t xml:space="preserve">OWASP MCP tool poisoning</t>
  </si>
  <si>
    <t xml:space="preserve">Community page</t>
  </si>
  <si>
    <t xml:space="preserve">Security &amp; quality multi-language (TDSC 2026)</t>
  </si>
  <si>
    <t xml:space="preserve">Database abstract (IEEE/ACM record, read 2026-10-27)</t>
  </si>
  <si>
    <t xml:space="preserve">CWEval (LLM4Code 2025)</t>
  </si>
  <si>
    <t xml:space="preserve">CodeLMSec (SaTML 2024)</t>
  </si>
  <si>
    <t xml:space="preserve">LLMSecEval (MSR 2023)</t>
  </si>
  <si>
    <t xml:space="preserve">Security gates in CI/CD (IEEE Access 2026)</t>
  </si>
  <si>
    <t xml:space="preserve">S6 CI/CD gate</t>
  </si>
  <si>
    <t xml:space="preserve">User-centered Copilot evaluation (ICSE 2024)</t>
  </si>
  <si>
    <t xml:space="preserve">Secure generation &amp; CWE (TSE 2025)</t>
  </si>
  <si>
    <t xml:space="preserve">Prompt-engineering security benchmark (FORGE 2025)</t>
  </si>
  <si>
    <t xml:space="preserve">S1 prompt</t>
  </si>
  <si>
    <t xml:space="preserve">CFCEval (AIware 2025)</t>
  </si>
  <si>
    <t xml:space="preserve">Attribution-guided adversarial code prompts (ASE 2024)</t>
  </si>
  <si>
    <t xml:space="preserve">API misuse in LLM code (TSE 2026)</t>
  </si>
  <si>
    <t xml:space="preserve">Q&amp;AEval (SVM 2026)</t>
  </si>
  <si>
    <t xml:space="preserve">Hunk-Constrained DPO (TOSEM 2026)</t>
  </si>
  <si>
    <t xml:space="preserve">Intervention methods, manipulated ChatGPT (CHI 2025)</t>
  </si>
  <si>
    <t xml:space="preserve">S1 prompt / UI warning</t>
  </si>
  <si>
    <t xml:space="preserve">AIALIB threat library (ASE 2026)</t>
  </si>
  <si>
    <t xml:space="preserve">SecRepoBench (LLM4Code 2026)</t>
  </si>
  <si>
    <t xml:space="preserve">AI assistants &amp; security practices (CCS 2024)</t>
  </si>
  <si>
    <t xml:space="preserve">S2,S5</t>
  </si>
  <si>
    <t xml:space="preserve">Prompting techniques for secure code (TOSEM 2025)</t>
  </si>
  <si>
    <t xml:space="preserve">SecurityEval dataset (MSR4P&amp;S 2022)</t>
  </si>
  <si>
    <t xml:space="preserve">Li et al. 2024 (CoSec)</t>
  </si>
  <si>
    <t xml:space="preserve">S2 generation (co-decoding)</t>
  </si>
  <si>
    <t xml:space="preserve">ACM abstract (ISSTA 2024)</t>
  </si>
  <si>
    <t xml:space="preserve">Liu Y. et al. 2025 (AIShellJack)</t>
  </si>
  <si>
    <t xml:space="preserve">arXiv v2 abstract and results section (verified 27 Oct 2026)</t>
  </si>
  <si>
    <t xml:space="preserve">Yang Y. et al. 2025 (MCPSecBench)</t>
  </si>
  <si>
    <t xml:space="preserve">TB2 action (MCP run-time protections MCIP, FAN)</t>
  </si>
  <si>
    <t xml:space="preserve">arXiv v3 abstract and results section (verified 27 Oct 2026)</t>
  </si>
  <si>
    <t xml:space="preserve">Poisoned assistants user study (S&amp;P 2024)</t>
  </si>
  <si>
    <t xml:space="preserve">Upstream,S2</t>
  </si>
  <si>
    <t xml:space="preserve">Un-repairing code poisoning (ISSRE-W 2023)</t>
  </si>
  <si>
    <t xml:space="preserve">Behaviour-triggered backdoor (TIFS 2025)</t>
  </si>
  <si>
    <t xml:space="preserve">Interface countermeasures to poisoning (TSE 2026)</t>
  </si>
  <si>
    <t xml:space="preserve">S2 generation (IDE interface)</t>
  </si>
  <si>
    <t xml:space="preserve">Cracks in The Stack (LLM4Code 2025)</t>
  </si>
  <si>
    <t xml:space="preserve">A0 (+A4)</t>
  </si>
  <si>
    <t xml:space="preserve">Knowledge-base poisoning in RACG (TSE 2026)</t>
  </si>
  <si>
    <t xml:space="preserve">Training data and generated-code quality (ICPC 2025)</t>
  </si>
  <si>
    <t xml:space="preserve">Upstream (data cleaning)</t>
  </si>
  <si>
    <t xml:space="preserve">Occlusion-based trojan trigger finding (CAIN 2025)</t>
  </si>
  <si>
    <t xml:space="preserve">Upstream (model audit)</t>
  </si>
  <si>
    <t xml:space="preserve">The Watermark Paradox (FSE-C 2026)</t>
  </si>
  <si>
    <t xml:space="preserve">Generalized adversarial code-suggestions (AsiaCCS 2025)</t>
  </si>
  <si>
    <t xml:space="preserve">A4 (+A2)</t>
  </si>
  <si>
    <t xml:space="preserve">Upstream,S1</t>
  </si>
  <si>
    <t xml:space="preserve">DeCE backdoor defense (TOSEM 2026)</t>
  </si>
  <si>
    <t xml:space="preserve">Upstream (training loss)</t>
  </si>
  <si>
    <t xml:space="preserve">KillBadCode poisoning detection (ICSE 2025; TSE 2026 ext.)</t>
  </si>
  <si>
    <t xml:space="preserve">Upstream (data cleansing)</t>
  </si>
  <si>
    <t xml:space="preserve">Semantic Consensus Decoding, Verilog (TSE 2026)</t>
  </si>
  <si>
    <t xml:space="preserve">S2 generation (decoding)</t>
  </si>
  <si>
    <t xml:space="preserve">Secret disclosure in AI code helpers (LISAT 2024)</t>
  </si>
  <si>
    <t xml:space="preserve">Malicious &amp; unintentional disclosure (SANER-C 2025)</t>
  </si>
  <si>
    <t xml:space="preserve">Secret memorization, token level (ICSE 2025)</t>
  </si>
  <si>
    <t xml:space="preserve">Codebreaker extraction attacks (S&amp;P 2025)</t>
  </si>
  <si>
    <t xml:space="preserve">Traces of memorisation (ICSE 2024)</t>
  </si>
  <si>
    <t xml:space="preserve">Differential privacy for IDE autocomplete (IDE 2026)</t>
  </si>
  <si>
    <t xml:space="preserve">Upstream (DP training)</t>
  </si>
  <si>
    <t xml:space="preserve">Security &amp; privacy in LLM-native IDEs (ASE 2026)</t>
  </si>
  <si>
    <t xml:space="preserve">Secure Context Cache (ICERA 2026)</t>
  </si>
  <si>
    <t xml:space="preserve">S1</t>
  </si>
  <si>
    <t xml:space="preserve">TB1 context (least-privilege slices)</t>
  </si>
  <si>
    <t xml:space="preserve">CodeEraser unlearning (ICSE 2026)</t>
  </si>
  <si>
    <t xml:space="preserve">Upstream (unlearning)</t>
  </si>
  <si>
    <t xml:space="preserve">Data extraction before/after fine-tuning (MSR 2025)</t>
  </si>
  <si>
    <t xml:space="preserve">Quantization and privacy risk (AIware 2025)</t>
  </si>
  <si>
    <t xml:space="preserve">ShadowCode external prompt injection (TDSC 2026)</t>
  </si>
  <si>
    <t xml:space="preserve">IDE-Sanitizer (SmartNets 2026)</t>
  </si>
  <si>
    <t xml:space="preserve">TB1 context (rule-file sanitizing)</t>
  </si>
  <si>
    <t xml:space="preserve">Flashboom vs LLM code auditors (S&amp;P 2025)</t>
  </si>
  <si>
    <t xml:space="preserve">STRIDE analysis of AI coding tools (VCC 2023)</t>
  </si>
  <si>
    <t xml:space="preserve">In-context vulnerability propagation (SACMAT 2025)</t>
  </si>
  <si>
    <t xml:space="preserve">Comment Traps (PACMSE 2026)</t>
  </si>
  <si>
    <t xml:space="preserve">Red-teaming coding agents via tool invocation (ISSTA 2026)</t>
  </si>
  <si>
    <t xml:space="preserve">A3 (+A2)</t>
  </si>
  <si>
    <t xml:space="preserve">Operational safety failures of agentic assistants (ASE 2026)</t>
  </si>
  <si>
    <t xml:space="preserve">None (A0 action failure)</t>
  </si>
  <si>
    <t xml:space="preserve">Adversarial bug reports vs LLM APR (MSR 2026)</t>
  </si>
  <si>
    <t xml:space="preserve">S7,S5</t>
  </si>
  <si>
    <t xml:space="preserve">TB1 context (guard-model filters) + S5 review (Copilot, CodeQL)</t>
  </si>
  <si>
    <t xml:space="preserve">ACM abstract + arXiv v2 full text: target is SWE-agent (verified 27 Oct 2026)</t>
  </si>
  <si>
    <t xml:space="preserve">HalluGuard (AIIoT 2026)</t>
  </si>
  <si>
    <t xml:space="preserve">S2 generation (post-generation check)</t>
  </si>
  <si>
    <t xml:space="preserve">The Software Librarian (ICSE-C 2025)</t>
  </si>
  <si>
    <t xml:space="preserve">A0 (+A1)</t>
  </si>
  <si>
    <t xml:space="preserve">S3</t>
  </si>
  <si>
    <t xml:space="preserve">SafeLoc hallucination localization (IJCNN 2026)</t>
  </si>
  <si>
    <t xml:space="preserve">LLMs and library changes (SANER 2026)</t>
  </si>
  <si>
    <t xml:space="preserve">APILOT outdated-API mitigation (ACSAC 2025)</t>
  </si>
  <si>
    <t xml:space="preserve">S2 generation (API advisory)</t>
  </si>
  <si>
    <t xml:space="preserve">TrustGuard provenance (ISI 2026)</t>
  </si>
  <si>
    <t xml:space="preserve">S6</t>
  </si>
  <si>
    <t xml:space="preserve">S6 provenance attestation</t>
  </si>
  <si>
    <t xml:space="preserve">Legend: T1-T8 and contribution columns are 1/0 flags. Rows with letter IDs E/A/N/M come from the database re-run (D09-D12) and are coded from full database abstracts only. NS = not stated in the text retrieved. Maturity E0-E3 per paper §3; only for papers that propose or evaluate a defense. All codes are single-coder and provisional.</t>
  </si>
  <si>
    <t xml:space="preserve">Coder 1 primary threat (original)</t>
  </si>
  <si>
    <t xml:space="preserve">Claude blind re-code (intra-coder check; NOT independent)</t>
  </si>
  <si>
    <t xml:space="preserve">Agree (C vs D)</t>
  </si>
  <si>
    <t xml:space="preserve">Human coder 2 primary threat (ENTER; independent)</t>
  </si>
  <si>
    <t xml:space="preserve">Agree (C vs F)</t>
  </si>
  <si>
    <t xml:space="preserve">Category</t>
  </si>
  <si>
    <t xml:space="preserve">Coder 1 count</t>
  </si>
  <si>
    <t xml:space="preserve">Claude re-code count</t>
  </si>
  <si>
    <t xml:space="preserve">Human coder 2 count</t>
  </si>
  <si>
    <t xml:space="preserve">A. Intra-coder consistency (coder 1 vs Claude blind re-code)</t>
  </si>
  <si>
    <t xml:space="preserve">n coded by both</t>
  </si>
  <si>
    <t xml:space="preserve">Observed agreement p_o</t>
  </si>
  <si>
    <t xml:space="preserve">Expected agreement p_e</t>
  </si>
  <si>
    <t xml:space="preserve">Cohen's kappa = (p_o - p_e)/(1 - p_e)</t>
  </si>
  <si>
    <t xml:space="preserve">B. Inter-rater reliability (coder 1 vs independent human coder 2) - REPORT THIS ONE</t>
  </si>
  <si>
    <t xml:space="preserve">Sample: 17 of the 85 academic papers coded before Phase 3 snowballing (20%), drawn with Python random.seed(2026) and then frozen. Expected agreement uses both codings' marginal counts. Column C keeps coder 1's original code; adjudicated codes are in the Coding sheet.</t>
  </si>
  <si>
    <t xml:space="preserve">Block A: Claude re-coded each paper from title and full abstract without consulting column C. Claude was also coder 1, so this is intra-coder consistency, not inter-rater reliability.</t>
  </si>
  <si>
    <t xml:space="preserve">Block B: column F must be filled by a human who has not seen columns C-D or the Coding sheet, using HumanCoder_packet.xlsx (same abstracts and codebook). Only block B may be reported as inter-rater agreement.</t>
  </si>
</sst>
</file>

<file path=xl/styles.xml><?xml version="1.0" encoding="utf-8"?>
<styleSheet xmlns="http://schemas.openxmlformats.org/spreadsheetml/2006/main">
  <numFmts count="3">
    <numFmt numFmtId="164" formatCode="General"/>
    <numFmt numFmtId="165" formatCode="0.0%"/>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
      <i val="true"/>
      <sz val="9"/>
      <name val="Arial"/>
      <family val="0"/>
      <charset val="1"/>
    </font>
    <font>
      <b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FCE4D6"/>
      </patternFill>
    </fill>
    <fill>
      <patternFill patternType="solid">
        <fgColor rgb="FFFCE4D6"/>
        <bgColor rgb="FFFFF2CC"/>
      </patternFill>
    </fill>
    <fill>
      <patternFill patternType="solid">
        <fgColor rgb="FFFFF2CC"/>
        <bgColor rgb="FFFCE4D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0"/>
  </cols>
  <sheetData>
    <row r="1" customFormat="false" ht="15" hidden="false" customHeight="false" outlineLevel="0" collapsed="false">
      <c r="A1" s="1" t="s">
        <v>0</v>
      </c>
      <c r="B1" s="1" t="s">
        <v>1</v>
      </c>
    </row>
    <row r="2" customFormat="false" ht="15" hidden="false" customHeight="false" outlineLevel="0" collapsed="false">
      <c r="A2" s="2" t="s">
        <v>2</v>
      </c>
      <c r="B2" s="2" t="s">
        <v>3</v>
      </c>
    </row>
    <row r="3" customFormat="false" ht="15" hidden="false" customHeight="false" outlineLevel="0" collapsed="false">
      <c r="A3" s="2" t="s">
        <v>4</v>
      </c>
      <c r="B3" s="2" t="s">
        <v>5</v>
      </c>
    </row>
    <row r="4" customFormat="false" ht="15" hidden="false" customHeight="false" outlineLevel="0" collapsed="false">
      <c r="A4" s="2" t="s">
        <v>6</v>
      </c>
      <c r="B4" s="2" t="n">
        <f aca="false">COUNTA('Search Log'!A2:A25)</f>
        <v>24</v>
      </c>
    </row>
    <row r="5" customFormat="false" ht="15" hidden="false" customHeight="false" outlineLevel="0" collapsed="false">
      <c r="A5" s="2" t="s">
        <v>7</v>
      </c>
      <c r="B5" s="2" t="n">
        <f aca="false">SUM('Search Log'!E2:E25)</f>
        <v>194</v>
      </c>
    </row>
    <row r="6" customFormat="false" ht="15" hidden="false" customHeight="false" outlineLevel="0" collapsed="false">
      <c r="A6" s="2" t="s">
        <v>8</v>
      </c>
      <c r="B6" s="2" t="n">
        <f aca="false">COUNTA(Screening!A2:A500)</f>
        <v>53</v>
      </c>
    </row>
    <row r="7" customFormat="false" ht="15" hidden="false" customHeight="false" outlineLevel="0" collapsed="false">
      <c r="A7" s="2" t="s">
        <v>9</v>
      </c>
      <c r="B7" s="2" t="n">
        <f aca="false">COUNTIF(Screening!I2:I500,"Include")</f>
        <v>38</v>
      </c>
    </row>
    <row r="8" customFormat="false" ht="15" hidden="false" customHeight="false" outlineLevel="0" collapsed="false">
      <c r="A8" s="2" t="s">
        <v>10</v>
      </c>
      <c r="B8" s="2" t="n">
        <f aca="false">COUNTIFS(Screening!I2:I500,"Include",Screening!H2:H500,"Primary (academic)")</f>
        <v>29</v>
      </c>
    </row>
    <row r="9" customFormat="false" ht="15" hidden="false" customHeight="false" outlineLevel="0" collapsed="false">
      <c r="A9" s="2" t="s">
        <v>11</v>
      </c>
      <c r="B9" s="2" t="n">
        <f aca="false">COUNTIFS(Screening!I2:I500,"Include",Screening!H2:H500,"Grey literature")</f>
        <v>9</v>
      </c>
    </row>
    <row r="10" customFormat="false" ht="15" hidden="false" customHeight="false" outlineLevel="0" collapsed="false">
      <c r="A10" s="2" t="s">
        <v>12</v>
      </c>
      <c r="B10" s="2" t="n">
        <f aca="false">COUNTIF(Screening!I2:I500,"Exclude")</f>
        <v>13</v>
      </c>
    </row>
    <row r="11" customFormat="false" ht="15" hidden="false" customHeight="false" outlineLevel="0" collapsed="false">
      <c r="A11" s="2" t="s">
        <v>13</v>
      </c>
      <c r="B11" s="2" t="n">
        <f aca="false">COUNTIF(Screening!I2:I500,"Pending verification")</f>
        <v>2</v>
      </c>
    </row>
    <row r="12" customFormat="false" ht="23.85" hidden="false" customHeight="false" outlineLevel="0" collapsed="false">
      <c r="A12" s="2" t="s">
        <v>14</v>
      </c>
      <c r="B12" s="2" t="s">
        <v>15</v>
      </c>
    </row>
    <row r="13" customFormat="false" ht="23.85" hidden="false" customHeight="false" outlineLevel="0" collapsed="false">
      <c r="A13" s="2" t="s">
        <v>16</v>
      </c>
      <c r="B13" s="2" t="s">
        <v>17</v>
      </c>
    </row>
    <row r="14" customFormat="false" ht="35.05" hidden="false" customHeight="false" outlineLevel="0" collapsed="false">
      <c r="A14" s="2" t="s">
        <v>18</v>
      </c>
      <c r="B14" s="2" t="s">
        <v>19</v>
      </c>
    </row>
    <row r="15" customFormat="false" ht="23.85" hidden="false" customHeight="false" outlineLevel="0" collapsed="false">
      <c r="A15" s="2" t="s">
        <v>20</v>
      </c>
      <c r="B15" s="2" t="s">
        <v>21</v>
      </c>
    </row>
    <row r="16" customFormat="false" ht="15" hidden="false" customHeight="false" outlineLevel="0" collapsed="false">
      <c r="A16" s="2" t="s">
        <v>22</v>
      </c>
      <c r="B16" s="2" t="s">
        <v>23</v>
      </c>
    </row>
    <row r="17" customFormat="false" ht="15" hidden="false" customHeight="false" outlineLevel="0" collapsed="false">
      <c r="A17" s="2" t="s">
        <v>24</v>
      </c>
      <c r="B17" s="2" t="s">
        <v>25</v>
      </c>
    </row>
    <row r="18" customFormat="false" ht="23.85" hidden="false" customHeight="false" outlineLevel="0" collapsed="false">
      <c r="A18" s="2" t="s">
        <v>26</v>
      </c>
      <c r="B18" s="2" t="s">
        <v>27</v>
      </c>
    </row>
    <row r="19" customFormat="false" ht="15" hidden="false" customHeight="false" outlineLevel="0" collapsed="false">
      <c r="A19" s="2" t="s">
        <v>28</v>
      </c>
      <c r="B19" s="2" t="s">
        <v>29</v>
      </c>
    </row>
    <row r="20" customFormat="false" ht="15" hidden="false" customHeight="false" outlineLevel="0" collapsed="false">
      <c r="A20" s="2" t="s">
        <v>30</v>
      </c>
      <c r="B20" s="2" t="s">
        <v>31</v>
      </c>
    </row>
    <row r="21" customFormat="false" ht="46.25" hidden="false" customHeight="false" outlineLevel="0" collapsed="false">
      <c r="A21" s="2" t="s">
        <v>32</v>
      </c>
      <c r="B21" s="2" t="s">
        <v>33</v>
      </c>
    </row>
    <row r="22" customFormat="false" ht="15" hidden="false" customHeight="false" outlineLevel="0" collapsed="false">
      <c r="A22" s="2" t="s">
        <v>34</v>
      </c>
      <c r="B22" s="2" t="n">
        <f aca="false">COUNTA(Coding!A2:A200)-COUNTIF(Coding!A2:A200,"Legend*")</f>
        <v>96</v>
      </c>
    </row>
    <row r="23" customFormat="false" ht="15" hidden="false" customHeight="false" outlineLevel="0" collapsed="false">
      <c r="A23" s="2" t="s">
        <v>10</v>
      </c>
      <c r="B23" s="2" t="n">
        <f aca="false">COUNTIF(Coding!C2:C200,"Academic")</f>
        <v>87</v>
      </c>
    </row>
    <row r="24" customFormat="false" ht="15" hidden="false" customHeight="false" outlineLevel="0" collapsed="false">
      <c r="A24" s="2" t="s">
        <v>35</v>
      </c>
      <c r="B24" s="2" t="n">
        <f aca="false">COUNTIFS(Coding!C2:C200,"Academic",Coding!D2:D200,"Y")</f>
        <v>75</v>
      </c>
    </row>
    <row r="25" customFormat="false" ht="15" hidden="false" customHeight="false" outlineLevel="0" collapsed="false">
      <c r="A25" s="2" t="s">
        <v>11</v>
      </c>
      <c r="B25" s="2" t="n">
        <f aca="false">COUNTIF(Coding!C2:C200,"Grey")</f>
        <v>9</v>
      </c>
    </row>
    <row r="26" customFormat="false" ht="23.85" hidden="false" customHeight="false" outlineLevel="0" collapsed="false">
      <c r="A26" s="2" t="s">
        <v>36</v>
      </c>
      <c r="B26" s="2" t="n">
        <f aca="false">COUNTIF('Abstract Screening'!K2:K300,"T7 aggregate*")</f>
        <v>50</v>
      </c>
    </row>
    <row r="27" customFormat="false" ht="15" hidden="false" customHeight="false" outlineLevel="0" collapsed="false">
      <c r="A27" s="2" t="s">
        <v>37</v>
      </c>
      <c r="B27" s="2" t="n">
        <f aca="false">COUNTIF(Coding!AC2:AC200,"Y")</f>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2"/>
    <col collapsed="false" customWidth="true" hidden="false" outlineLevel="0" max="3" min="3" style="0" width="16"/>
    <col collapsed="false" customWidth="true" hidden="false" outlineLevel="0" max="4" min="4" style="0" width="36"/>
  </cols>
  <sheetData>
    <row r="1" customFormat="false" ht="26.85" hidden="false" customHeight="false" outlineLevel="0" collapsed="false">
      <c r="A1" s="1" t="s">
        <v>38</v>
      </c>
      <c r="B1" s="1" t="s">
        <v>39</v>
      </c>
      <c r="C1" s="1" t="s">
        <v>40</v>
      </c>
      <c r="D1" s="1" t="s">
        <v>41</v>
      </c>
    </row>
    <row r="2" customFormat="false" ht="15" hidden="false" customHeight="false" outlineLevel="0" collapsed="false">
      <c r="A2" s="2" t="s">
        <v>42</v>
      </c>
      <c r="B2" s="2" t="n">
        <f aca="false">SUMIFS(Coding!$F$2:$F$97,Coding!$C$2:$C$97,"Academic")</f>
        <v>6</v>
      </c>
      <c r="C2" s="2" t="n">
        <f aca="false">SUMIFS(Coding!$F$2:$F$97,Coding!$C$2:$C$97,"Grey")</f>
        <v>0</v>
      </c>
      <c r="D2" s="2" t="s">
        <v>43</v>
      </c>
    </row>
    <row r="3" customFormat="false" ht="23.85" hidden="false" customHeight="false" outlineLevel="0" collapsed="false">
      <c r="A3" s="2" t="s">
        <v>44</v>
      </c>
      <c r="B3" s="2" t="n">
        <f aca="false">SUMIFS(Coding!$G$2:$G$97,Coding!$C$2:$C$97,"Academic")</f>
        <v>9</v>
      </c>
      <c r="C3" s="2" t="n">
        <f aca="false">SUMIFS(Coding!$G$2:$G$97,Coding!$C$2:$C$97,"Grey")</f>
        <v>1</v>
      </c>
      <c r="D3" s="2" t="s">
        <v>43</v>
      </c>
    </row>
    <row r="4" customFormat="false" ht="15" hidden="false" customHeight="false" outlineLevel="0" collapsed="false">
      <c r="A4" s="2" t="s">
        <v>45</v>
      </c>
      <c r="B4" s="2" t="n">
        <f aca="false">SUMIFS(Coding!$H$2:$H$97,Coding!$C$2:$C$97,"Academic")</f>
        <v>16</v>
      </c>
      <c r="C4" s="2" t="n">
        <f aca="false">SUMIFS(Coding!$H$2:$H$97,Coding!$C$2:$C$97,"Grey")</f>
        <v>5</v>
      </c>
      <c r="D4" s="2" t="s">
        <v>43</v>
      </c>
    </row>
    <row r="5" customFormat="false" ht="15" hidden="false" customHeight="false" outlineLevel="0" collapsed="false">
      <c r="A5" s="2" t="s">
        <v>46</v>
      </c>
      <c r="B5" s="2" t="n">
        <f aca="false">SUMIFS(Coding!$I$2:$I$97,Coding!$C$2:$C$97,"Academic")</f>
        <v>2</v>
      </c>
      <c r="C5" s="2" t="n">
        <f aca="false">SUMIFS(Coding!$I$2:$I$97,Coding!$C$2:$C$97,"Grey")</f>
        <v>2</v>
      </c>
      <c r="D5" s="2" t="s">
        <v>43</v>
      </c>
    </row>
    <row r="6" customFormat="false" ht="15" hidden="false" customHeight="false" outlineLevel="0" collapsed="false">
      <c r="A6" s="2" t="s">
        <v>47</v>
      </c>
      <c r="B6" s="2" t="n">
        <f aca="false">SUMIFS(Coding!$J$2:$J$97,Coding!$C$2:$C$97,"Academic")</f>
        <v>7</v>
      </c>
      <c r="C6" s="2" t="n">
        <f aca="false">SUMIFS(Coding!$J$2:$J$97,Coding!$C$2:$C$97,"Grey")</f>
        <v>1</v>
      </c>
      <c r="D6" s="2" t="s">
        <v>43</v>
      </c>
    </row>
    <row r="7" customFormat="false" ht="15" hidden="false" customHeight="false" outlineLevel="0" collapsed="false">
      <c r="A7" s="2" t="s">
        <v>48</v>
      </c>
      <c r="B7" s="2" t="n">
        <f aca="false">SUMIFS(Coding!$K$2:$K$97,Coding!$C$2:$C$97,"Academic")</f>
        <v>15</v>
      </c>
      <c r="C7" s="2" t="n">
        <f aca="false">SUMIFS(Coding!$K$2:$K$97,Coding!$C$2:$C$97,"Grey")</f>
        <v>4</v>
      </c>
      <c r="D7" s="2" t="s">
        <v>43</v>
      </c>
    </row>
    <row r="8" customFormat="false" ht="15" hidden="false" customHeight="false" outlineLevel="0" collapsed="false">
      <c r="A8" s="2" t="s">
        <v>49</v>
      </c>
      <c r="B8" s="2" t="n">
        <f aca="false">SUMIFS(Coding!$L$2:$L$97,Coding!$C$2:$C$97,"Academic")</f>
        <v>40</v>
      </c>
      <c r="C8" s="2" t="n">
        <f aca="false">SUMIFS(Coding!$L$2:$L$97,Coding!$C$2:$C$97,"Grey")</f>
        <v>1</v>
      </c>
      <c r="D8" s="2" t="s">
        <v>43</v>
      </c>
    </row>
    <row r="9" customFormat="false" ht="15" hidden="false" customHeight="false" outlineLevel="0" collapsed="false">
      <c r="A9" s="2" t="s">
        <v>50</v>
      </c>
      <c r="B9" s="2" t="n">
        <f aca="false">SUMIFS(Coding!$M$2:$M$97,Coding!$C$2:$C$97,"Academic")</f>
        <v>16</v>
      </c>
      <c r="C9" s="2" t="n">
        <f aca="false">SUMIFS(Coding!$M$2:$M$97,Coding!$C$2:$C$97,"Grey")</f>
        <v>0</v>
      </c>
      <c r="D9" s="2" t="s">
        <v>43</v>
      </c>
    </row>
    <row r="10" customFormat="false" ht="15" hidden="false" customHeight="false" outlineLevel="0" collapsed="false">
      <c r="A10" s="2" t="s">
        <v>51</v>
      </c>
      <c r="B10" s="2" t="n">
        <f aca="false">SUMIFS(Coding!$N$2:$N$97,Coding!$C$2:$C$97,"Academic")</f>
        <v>21</v>
      </c>
      <c r="C10" s="2" t="n">
        <f aca="false">SUMIFS(Coding!$N$2:$N$97,Coding!$C$2:$C$97,"Grey")</f>
        <v>7</v>
      </c>
      <c r="D10" s="2"/>
    </row>
    <row r="11" customFormat="false" ht="15" hidden="false" customHeight="false" outlineLevel="0" collapsed="false">
      <c r="A11" s="2" t="s">
        <v>52</v>
      </c>
      <c r="B11" s="2" t="n">
        <f aca="false">SUMIFS(Coding!$O$2:$O$97,Coding!$C$2:$C$97,"Academic")</f>
        <v>32</v>
      </c>
      <c r="C11" s="2" t="n">
        <f aca="false">SUMIFS(Coding!$O$2:$O$97,Coding!$C$2:$C$97,"Grey")</f>
        <v>2</v>
      </c>
      <c r="D11" s="2"/>
    </row>
    <row r="12" customFormat="false" ht="15" hidden="false" customHeight="false" outlineLevel="0" collapsed="false">
      <c r="A12" s="2" t="s">
        <v>53</v>
      </c>
      <c r="B12" s="2" t="n">
        <f aca="false">SUMIFS(Coding!$P$2:$P$97,Coding!$C$2:$C$97,"Academic")</f>
        <v>15</v>
      </c>
      <c r="C12" s="2" t="n">
        <f aca="false">SUMIFS(Coding!$P$2:$P$97,Coding!$C$2:$C$97,"Grey")</f>
        <v>0</v>
      </c>
      <c r="D12" s="2"/>
    </row>
    <row r="13" customFormat="false" ht="15" hidden="false" customHeight="false" outlineLevel="0" collapsed="false">
      <c r="A13" s="2" t="s">
        <v>54</v>
      </c>
      <c r="B13" s="2" t="n">
        <f aca="false">SUMIFS(Coding!$Q$2:$Q$97,Coding!$C$2:$C$97,"Academic")</f>
        <v>38</v>
      </c>
      <c r="C13" s="2" t="n">
        <f aca="false">SUMIFS(Coding!$Q$2:$Q$97,Coding!$C$2:$C$97,"Grey")</f>
        <v>0</v>
      </c>
      <c r="D13" s="2"/>
    </row>
    <row r="14" customFormat="false" ht="15" hidden="false" customHeight="false" outlineLevel="0" collapsed="false">
      <c r="A14" s="2" t="s">
        <v>55</v>
      </c>
      <c r="B14" s="2" t="n">
        <f aca="false">SUMIFS(Coding!$R$2:$R$97,Coding!$C$2:$C$97,"Academic")</f>
        <v>6</v>
      </c>
      <c r="C14" s="2" t="n">
        <f aca="false">SUMIFS(Coding!$R$2:$R$97,Coding!$C$2:$C$97,"Grey")</f>
        <v>0</v>
      </c>
      <c r="D14" s="2"/>
    </row>
    <row r="15" customFormat="false" ht="15" hidden="false" customHeight="false" outlineLevel="0" collapsed="false">
      <c r="A15" s="2" t="s">
        <v>56</v>
      </c>
      <c r="B15" s="2" t="n">
        <f aca="false">COUNTIF(Coding!$C$2:$C$97,"Academic")</f>
        <v>87</v>
      </c>
      <c r="C15" s="2" t="n">
        <f aca="false">COUNTIF(Coding!$C$2:$C$97,"Grey")</f>
        <v>9</v>
      </c>
      <c r="D15" s="2"/>
    </row>
    <row r="16" customFormat="false" ht="15" hidden="false" customHeight="false" outlineLevel="0" collapsed="false">
      <c r="A16" s="2" t="s">
        <v>57</v>
      </c>
      <c r="B16" s="2" t="n">
        <f aca="false">COUNTIFS(Coding!$C$2:$C$97,"Academic",Coding!$D$2:$D$97,"Y")</f>
        <v>75</v>
      </c>
      <c r="C16" s="2"/>
      <c r="D16" s="2"/>
    </row>
    <row r="17" customFormat="false" ht="15" hidden="false" customHeight="false" outlineLevel="0" collapsed="false">
      <c r="A17" s="2" t="s">
        <v>58</v>
      </c>
      <c r="B17" s="2" t="n">
        <f aca="false">COUNTIFS(Coding!$C$2:$C$97,"Academic",Coding!$V$2:$V$97,"Y")</f>
        <v>18</v>
      </c>
      <c r="C17" s="2" t="n">
        <f aca="false">COUNTIFS(Coding!$C$2:$C$97,"Grey",Coding!$V$2:$V$97,"Y")</f>
        <v>7</v>
      </c>
      <c r="D17" s="2"/>
    </row>
    <row r="18" customFormat="false" ht="15" hidden="false" customHeight="false" outlineLevel="0" collapsed="false">
      <c r="A18" s="2" t="s">
        <v>59</v>
      </c>
      <c r="B18" s="3" t="n">
        <f aca="false">B17/B15</f>
        <v>0.206896551724138</v>
      </c>
      <c r="C18" s="2"/>
      <c r="D18" s="2"/>
    </row>
    <row r="19" customFormat="false" ht="15" hidden="false" customHeight="false" outlineLevel="0" collapsed="false">
      <c r="A19" s="2" t="s">
        <v>60</v>
      </c>
      <c r="B19" s="2" t="n">
        <f aca="false">COUNTIFS(Coding!$C$2:$C$97,"Academic",Coding!$Q$2:$Q$97,1,Coding!$V$2:$V$97,"Y")</f>
        <v>7</v>
      </c>
      <c r="C19" s="2"/>
      <c r="D19" s="2"/>
    </row>
    <row r="20" customFormat="false" ht="15" hidden="false" customHeight="false" outlineLevel="0" collapsed="false">
      <c r="A20" s="2" t="s">
        <v>61</v>
      </c>
      <c r="B20" s="2" t="n">
        <f aca="false">COUNTIFS(Coding!$C$2:$C$97,"Academic",Coding!$X$2:$X$97,"E1")</f>
        <v>30</v>
      </c>
      <c r="C20" s="2"/>
      <c r="D20" s="2"/>
    </row>
    <row r="21" customFormat="false" ht="15" hidden="false" customHeight="false" outlineLevel="0" collapsed="false">
      <c r="A21" s="2" t="s">
        <v>62</v>
      </c>
      <c r="B21" s="2" t="n">
        <f aca="false">COUNTIFS(Coding!$C$2:$C$97,"Academic",Coding!$X$2:$X$97,"E2")</f>
        <v>7</v>
      </c>
      <c r="C21" s="2"/>
      <c r="D21" s="2"/>
    </row>
    <row r="22" customFormat="false" ht="15" hidden="false" customHeight="false" outlineLevel="0" collapsed="false">
      <c r="A22" s="2" t="s">
        <v>63</v>
      </c>
      <c r="B22" s="2" t="n">
        <f aca="false">COUNTIFS(Coding!$C$2:$C$97,"Academic",Coding!$X$2:$X$97,"E3")</f>
        <v>0</v>
      </c>
      <c r="C22" s="2"/>
      <c r="D22" s="2"/>
    </row>
    <row r="23" customFormat="false" ht="15" hidden="false" customHeight="false" outlineLevel="0" collapsed="false">
      <c r="A23" s="2" t="s">
        <v>64</v>
      </c>
      <c r="B23" s="2" t="n">
        <f aca="false">COUNTIFS(Coding!$C$2:$C$97,"Academic",Coding!$W$2:$W$97,"S2*")</f>
        <v>14</v>
      </c>
      <c r="C23" s="2"/>
      <c r="D23" s="2" t="s">
        <v>65</v>
      </c>
    </row>
    <row r="24" customFormat="false" ht="15" hidden="false" customHeight="false" outlineLevel="0" collapsed="false">
      <c r="A24" s="2" t="s">
        <v>66</v>
      </c>
      <c r="B24" s="2" t="n">
        <f aca="false">COUNTIFS(Coding!$C$2:$C$97,"Academic",Coding!$W$2:$W$97,"*TB2*")</f>
        <v>4</v>
      </c>
      <c r="C24" s="2"/>
      <c r="D24" s="2"/>
    </row>
    <row r="25" customFormat="false" ht="15" hidden="false" customHeight="false" outlineLevel="0" collapsed="false">
      <c r="A25" s="2" t="s">
        <v>67</v>
      </c>
      <c r="B25" s="2" t="n">
        <f aca="false">COUNTIFS(Coding!$C$2:$C$97,"Academic",Coding!$W$2:$W$97,"*S3*")</f>
        <v>3</v>
      </c>
      <c r="C25" s="2"/>
      <c r="D25" s="2"/>
    </row>
    <row r="26" customFormat="false" ht="15" hidden="false" customHeight="false" outlineLevel="0" collapsed="false">
      <c r="A26" s="2" t="s">
        <v>68</v>
      </c>
      <c r="B26" s="2" t="n">
        <f aca="false">COUNTIFS(Coding!$C$2:$C$97,"Academic",Coding!$Y$2:$Y$97,"Y")</f>
        <v>15</v>
      </c>
      <c r="C26" s="2"/>
      <c r="D26" s="2"/>
    </row>
    <row r="27" customFormat="false" ht="15" hidden="false" customHeight="false" outlineLevel="0" collapsed="false">
      <c r="A27" s="2" t="s">
        <v>69</v>
      </c>
      <c r="B27" s="2" t="n">
        <f aca="false">COUNTIFS(Coding!$C$2:$C$97,"Academic",Coding!$Z$2:$Z$97,"Y")</f>
        <v>7</v>
      </c>
      <c r="C27" s="2"/>
      <c r="D27" s="2"/>
    </row>
    <row r="28" customFormat="false" ht="15" hidden="false" customHeight="false" outlineLevel="0" collapsed="false">
      <c r="A28" s="2" t="s">
        <v>70</v>
      </c>
      <c r="B28" s="2" t="n">
        <f aca="false">COUNTIFS(Coding!$C$2:$C$97,"Academic",Coding!$AA$2:$AA$97,"Y")</f>
        <v>8</v>
      </c>
      <c r="C28" s="2"/>
      <c r="D2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5"/>
    <col collapsed="false" customWidth="true" hidden="false" outlineLevel="0" max="3" min="3" style="0" width="30"/>
    <col collapsed="false" customWidth="true" hidden="false" outlineLevel="0" max="4" min="4" style="0" width="12"/>
    <col collapsed="false" customWidth="true" hidden="false" outlineLevel="0" max="5" min="5" style="0" width="10"/>
    <col collapsed="false" customWidth="true" hidden="false" outlineLevel="0" max="6" min="6" style="0" width="60"/>
  </cols>
  <sheetData>
    <row r="1" customFormat="false" ht="26.85" hidden="false" customHeight="false" outlineLevel="0" collapsed="false">
      <c r="A1" s="1" t="s">
        <v>71</v>
      </c>
      <c r="B1" s="1" t="s">
        <v>72</v>
      </c>
      <c r="C1" s="1" t="s">
        <v>73</v>
      </c>
      <c r="D1" s="1" t="s">
        <v>74</v>
      </c>
      <c r="E1" s="1" t="s">
        <v>75</v>
      </c>
      <c r="F1" s="1" t="s">
        <v>76</v>
      </c>
    </row>
    <row r="2" customFormat="false" ht="15" hidden="false" customHeight="false" outlineLevel="0" collapsed="false">
      <c r="A2" s="2" t="s">
        <v>77</v>
      </c>
      <c r="B2" s="2" t="s">
        <v>78</v>
      </c>
      <c r="C2" s="2" t="s">
        <v>79</v>
      </c>
      <c r="D2" s="2" t="s">
        <v>3</v>
      </c>
      <c r="E2" s="2" t="n">
        <v>7</v>
      </c>
      <c r="F2" s="2" t="s">
        <v>80</v>
      </c>
    </row>
    <row r="3" customFormat="false" ht="15" hidden="false" customHeight="false" outlineLevel="0" collapsed="false">
      <c r="A3" s="2" t="s">
        <v>81</v>
      </c>
      <c r="B3" s="2" t="s">
        <v>82</v>
      </c>
      <c r="C3" s="2" t="s">
        <v>79</v>
      </c>
      <c r="D3" s="2" t="s">
        <v>3</v>
      </c>
      <c r="E3" s="2" t="n">
        <v>7</v>
      </c>
      <c r="F3" s="2" t="s">
        <v>83</v>
      </c>
    </row>
    <row r="4" customFormat="false" ht="15" hidden="false" customHeight="false" outlineLevel="0" collapsed="false">
      <c r="A4" s="2" t="s">
        <v>84</v>
      </c>
      <c r="B4" s="2" t="s">
        <v>85</v>
      </c>
      <c r="C4" s="2" t="s">
        <v>79</v>
      </c>
      <c r="D4" s="2" t="s">
        <v>3</v>
      </c>
      <c r="E4" s="2" t="n">
        <v>9</v>
      </c>
      <c r="F4" s="2" t="s">
        <v>86</v>
      </c>
    </row>
    <row r="5" customFormat="false" ht="15" hidden="false" customHeight="false" outlineLevel="0" collapsed="false">
      <c r="A5" s="2" t="s">
        <v>87</v>
      </c>
      <c r="B5" s="2" t="s">
        <v>88</v>
      </c>
      <c r="C5" s="2" t="s">
        <v>79</v>
      </c>
      <c r="D5" s="2" t="s">
        <v>3</v>
      </c>
      <c r="E5" s="2" t="n">
        <v>9</v>
      </c>
      <c r="F5" s="2" t="s">
        <v>89</v>
      </c>
    </row>
    <row r="6" customFormat="false" ht="23.85" hidden="false" customHeight="false" outlineLevel="0" collapsed="false">
      <c r="A6" s="2" t="s">
        <v>90</v>
      </c>
      <c r="B6" s="2" t="s">
        <v>91</v>
      </c>
      <c r="C6" s="2" t="s">
        <v>92</v>
      </c>
      <c r="D6" s="2" t="s">
        <v>3</v>
      </c>
      <c r="E6" s="2" t="n">
        <v>7</v>
      </c>
      <c r="F6" s="2" t="s">
        <v>93</v>
      </c>
    </row>
    <row r="7" customFormat="false" ht="15" hidden="false" customHeight="false" outlineLevel="0" collapsed="false">
      <c r="A7" s="2" t="s">
        <v>94</v>
      </c>
      <c r="B7" s="2" t="s">
        <v>95</v>
      </c>
      <c r="C7" s="2" t="s">
        <v>79</v>
      </c>
      <c r="D7" s="2" t="s">
        <v>3</v>
      </c>
      <c r="E7" s="2" t="n">
        <v>7</v>
      </c>
      <c r="F7" s="2" t="s">
        <v>96</v>
      </c>
    </row>
    <row r="8" customFormat="false" ht="15" hidden="false" customHeight="false" outlineLevel="0" collapsed="false">
      <c r="A8" s="2" t="s">
        <v>97</v>
      </c>
      <c r="B8" s="2" t="s">
        <v>98</v>
      </c>
      <c r="C8" s="2" t="s">
        <v>79</v>
      </c>
      <c r="D8" s="2" t="s">
        <v>3</v>
      </c>
      <c r="E8" s="2" t="n">
        <v>7</v>
      </c>
      <c r="F8" s="2" t="s">
        <v>99</v>
      </c>
    </row>
    <row r="9" customFormat="false" ht="23.85" hidden="false" customHeight="false" outlineLevel="0" collapsed="false">
      <c r="A9" s="2" t="s">
        <v>100</v>
      </c>
      <c r="B9" s="2" t="s">
        <v>101</v>
      </c>
      <c r="C9" s="2" t="s">
        <v>79</v>
      </c>
      <c r="D9" s="2" t="s">
        <v>3</v>
      </c>
      <c r="E9" s="2" t="n">
        <v>7</v>
      </c>
      <c r="F9" s="2" t="s">
        <v>102</v>
      </c>
    </row>
    <row r="10" customFormat="false" ht="15" hidden="false" customHeight="false" outlineLevel="0" collapsed="false">
      <c r="A10" s="2" t="s">
        <v>103</v>
      </c>
      <c r="B10" s="2" t="s">
        <v>104</v>
      </c>
      <c r="C10" s="2" t="s">
        <v>105</v>
      </c>
      <c r="D10" s="2" t="s">
        <v>3</v>
      </c>
      <c r="E10" s="2" t="n">
        <v>7</v>
      </c>
      <c r="F10" s="2" t="s">
        <v>106</v>
      </c>
    </row>
    <row r="11" customFormat="false" ht="15" hidden="false" customHeight="false" outlineLevel="0" collapsed="false">
      <c r="A11" s="2" t="s">
        <v>107</v>
      </c>
      <c r="B11" s="2" t="s">
        <v>108</v>
      </c>
      <c r="C11" s="2" t="s">
        <v>109</v>
      </c>
      <c r="D11" s="2" t="s">
        <v>3</v>
      </c>
      <c r="E11" s="2" t="n">
        <v>7</v>
      </c>
      <c r="F11" s="2" t="s">
        <v>110</v>
      </c>
    </row>
    <row r="12" customFormat="false" ht="15" hidden="false" customHeight="false" outlineLevel="0" collapsed="false">
      <c r="A12" s="2" t="s">
        <v>111</v>
      </c>
      <c r="B12" s="2" t="s">
        <v>112</v>
      </c>
      <c r="C12" s="2" t="s">
        <v>79</v>
      </c>
      <c r="D12" s="2" t="s">
        <v>3</v>
      </c>
      <c r="E12" s="2" t="n">
        <v>9</v>
      </c>
      <c r="F12" s="2" t="s">
        <v>113</v>
      </c>
    </row>
    <row r="13" customFormat="false" ht="15" hidden="false" customHeight="false" outlineLevel="0" collapsed="false">
      <c r="A13" s="2" t="s">
        <v>114</v>
      </c>
      <c r="B13" s="2" t="s">
        <v>115</v>
      </c>
      <c r="C13" s="2" t="s">
        <v>79</v>
      </c>
      <c r="D13" s="2" t="s">
        <v>3</v>
      </c>
      <c r="E13" s="2" t="n">
        <v>7</v>
      </c>
      <c r="F13" s="2" t="s">
        <v>116</v>
      </c>
    </row>
    <row r="14" customFormat="false" ht="15" hidden="false" customHeight="false" outlineLevel="0" collapsed="false">
      <c r="A14" s="2" t="s">
        <v>117</v>
      </c>
      <c r="B14" s="2" t="s">
        <v>118</v>
      </c>
      <c r="C14" s="2" t="s">
        <v>79</v>
      </c>
      <c r="D14" s="2" t="s">
        <v>3</v>
      </c>
      <c r="E14" s="2" t="n">
        <v>9</v>
      </c>
      <c r="F14" s="2" t="s">
        <v>119</v>
      </c>
    </row>
    <row r="15" customFormat="false" ht="15" hidden="false" customHeight="false" outlineLevel="0" collapsed="false">
      <c r="A15" s="2" t="s">
        <v>120</v>
      </c>
      <c r="B15" s="2" t="s">
        <v>121</v>
      </c>
      <c r="C15" s="2" t="s">
        <v>79</v>
      </c>
      <c r="D15" s="2" t="s">
        <v>3</v>
      </c>
      <c r="E15" s="2" t="n">
        <v>9</v>
      </c>
      <c r="F15" s="2" t="s">
        <v>122</v>
      </c>
    </row>
    <row r="16" customFormat="false" ht="15" hidden="false" customHeight="false" outlineLevel="0" collapsed="false">
      <c r="A16" s="2" t="s">
        <v>123</v>
      </c>
      <c r="B16" s="2" t="s">
        <v>124</v>
      </c>
      <c r="C16" s="2" t="s">
        <v>79</v>
      </c>
      <c r="D16" s="2" t="s">
        <v>3</v>
      </c>
      <c r="E16" s="2" t="n">
        <v>10</v>
      </c>
      <c r="F16" s="2" t="s">
        <v>125</v>
      </c>
    </row>
    <row r="17" customFormat="false" ht="15" hidden="false" customHeight="false" outlineLevel="0" collapsed="false">
      <c r="A17" s="2" t="s">
        <v>126</v>
      </c>
      <c r="B17" s="2" t="s">
        <v>127</v>
      </c>
      <c r="C17" s="2" t="s">
        <v>105</v>
      </c>
      <c r="D17" s="2" t="s">
        <v>3</v>
      </c>
      <c r="E17" s="2" t="n">
        <v>9</v>
      </c>
      <c r="F17" s="2" t="s">
        <v>128</v>
      </c>
    </row>
    <row r="18" customFormat="false" ht="23.85" hidden="false" customHeight="false" outlineLevel="0" collapsed="false">
      <c r="A18" s="2" t="s">
        <v>129</v>
      </c>
      <c r="B18" s="2" t="s">
        <v>130</v>
      </c>
      <c r="C18" s="2" t="s">
        <v>79</v>
      </c>
      <c r="D18" s="2" t="s">
        <v>3</v>
      </c>
      <c r="E18" s="2" t="n">
        <v>7</v>
      </c>
      <c r="F18" s="2" t="s">
        <v>131</v>
      </c>
    </row>
    <row r="19" customFormat="false" ht="15" hidden="false" customHeight="false" outlineLevel="0" collapsed="false">
      <c r="A19" s="2" t="s">
        <v>132</v>
      </c>
      <c r="B19" s="2" t="s">
        <v>133</v>
      </c>
      <c r="C19" s="2" t="s">
        <v>79</v>
      </c>
      <c r="D19" s="2" t="s">
        <v>3</v>
      </c>
      <c r="E19" s="2" t="n">
        <v>7</v>
      </c>
      <c r="F19" s="2" t="s">
        <v>134</v>
      </c>
    </row>
    <row r="20" customFormat="false" ht="15" hidden="false" customHeight="false" outlineLevel="0" collapsed="false">
      <c r="A20" s="2" t="s">
        <v>135</v>
      </c>
      <c r="B20" s="2" t="s">
        <v>136</v>
      </c>
      <c r="C20" s="2" t="s">
        <v>109</v>
      </c>
      <c r="D20" s="2" t="s">
        <v>3</v>
      </c>
      <c r="E20" s="2" t="n">
        <v>7</v>
      </c>
      <c r="F20" s="2" t="s">
        <v>137</v>
      </c>
    </row>
    <row r="21" customFormat="false" ht="15" hidden="false" customHeight="false" outlineLevel="0" collapsed="false">
      <c r="A21" s="2" t="s">
        <v>138</v>
      </c>
      <c r="B21" s="2" t="s">
        <v>139</v>
      </c>
      <c r="C21" s="2" t="s">
        <v>140</v>
      </c>
      <c r="D21" s="2" t="s">
        <v>3</v>
      </c>
      <c r="E21" s="2" t="n">
        <v>9</v>
      </c>
      <c r="F21" s="2" t="s">
        <v>141</v>
      </c>
    </row>
    <row r="22" customFormat="false" ht="15" hidden="false" customHeight="false" outlineLevel="0" collapsed="false">
      <c r="A22" s="2" t="s">
        <v>142</v>
      </c>
      <c r="B22" s="2" t="s">
        <v>143</v>
      </c>
      <c r="C22" s="2" t="s">
        <v>109</v>
      </c>
      <c r="D22" s="2" t="s">
        <v>3</v>
      </c>
      <c r="E22" s="2" t="n">
        <v>7</v>
      </c>
      <c r="F22" s="2" t="s">
        <v>144</v>
      </c>
    </row>
    <row r="23" customFormat="false" ht="23.85" hidden="false" customHeight="false" outlineLevel="0" collapsed="false">
      <c r="A23" s="2" t="s">
        <v>145</v>
      </c>
      <c r="B23" s="2" t="s">
        <v>146</v>
      </c>
      <c r="C23" s="2" t="s">
        <v>79</v>
      </c>
      <c r="D23" s="2" t="s">
        <v>3</v>
      </c>
      <c r="E23" s="2" t="n">
        <v>10</v>
      </c>
      <c r="F23" s="2" t="s">
        <v>147</v>
      </c>
    </row>
    <row r="24" customFormat="false" ht="15" hidden="false" customHeight="false" outlineLevel="0" collapsed="false">
      <c r="A24" s="2" t="s">
        <v>148</v>
      </c>
      <c r="B24" s="2" t="s">
        <v>149</v>
      </c>
      <c r="C24" s="2" t="s">
        <v>109</v>
      </c>
      <c r="D24" s="2" t="s">
        <v>3</v>
      </c>
      <c r="E24" s="2" t="n">
        <v>10</v>
      </c>
      <c r="F24" s="2" t="s">
        <v>150</v>
      </c>
    </row>
    <row r="25" customFormat="false" ht="15" hidden="false" customHeight="false" outlineLevel="0" collapsed="false">
      <c r="A25" s="2" t="s">
        <v>151</v>
      </c>
      <c r="B25" s="2" t="s">
        <v>152</v>
      </c>
      <c r="C25" s="2" t="s">
        <v>79</v>
      </c>
      <c r="D25" s="2" t="s">
        <v>3</v>
      </c>
      <c r="E25" s="2" t="n">
        <v>10</v>
      </c>
      <c r="F25" s="2" t="s">
        <v>153</v>
      </c>
    </row>
    <row r="26" customFormat="false" ht="15" hidden="false" customHeight="false" outlineLevel="0" collapsed="false">
      <c r="A26" s="2"/>
      <c r="B26" s="2"/>
      <c r="C26" s="2"/>
      <c r="D26" s="4" t="s">
        <v>154</v>
      </c>
      <c r="E26" s="4" t="n">
        <f aca="false">SUM(E2:E25)</f>
        <v>194</v>
      </c>
      <c r="F2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70"/>
    <col collapsed="false" customWidth="true" hidden="false" outlineLevel="0" max="4" min="4" style="0" width="34"/>
    <col collapsed="false" customWidth="true" hidden="false" outlineLevel="0" max="5" min="5" style="0" width="10"/>
    <col collapsed="false" customWidth="true" hidden="false" outlineLevel="0" max="6" min="6" style="0" width="60"/>
  </cols>
  <sheetData>
    <row r="1" customFormat="false" ht="15" hidden="false" customHeight="false" outlineLevel="0" collapsed="false">
      <c r="A1" s="1" t="s">
        <v>155</v>
      </c>
      <c r="B1" s="1" t="s">
        <v>156</v>
      </c>
      <c r="C1" s="1" t="s">
        <v>157</v>
      </c>
      <c r="D1" s="1" t="s">
        <v>158</v>
      </c>
      <c r="E1" s="1" t="s">
        <v>159</v>
      </c>
      <c r="F1" s="1" t="s">
        <v>41</v>
      </c>
    </row>
    <row r="2" customFormat="false" ht="23.85" hidden="false" customHeight="false" outlineLevel="0" collapsed="false">
      <c r="A2" s="2" t="s">
        <v>160</v>
      </c>
      <c r="B2" s="2" t="s">
        <v>161</v>
      </c>
      <c r="C2" s="2" t="s">
        <v>162</v>
      </c>
      <c r="D2" s="2" t="s">
        <v>163</v>
      </c>
      <c r="E2" s="2" t="n">
        <v>9</v>
      </c>
      <c r="F2" s="2" t="s">
        <v>164</v>
      </c>
      <c r="G2" s="2"/>
    </row>
    <row r="3" customFormat="false" ht="23.85" hidden="false" customHeight="false" outlineLevel="0" collapsed="false">
      <c r="A3" s="2" t="s">
        <v>165</v>
      </c>
      <c r="B3" s="2" t="s">
        <v>161</v>
      </c>
      <c r="C3" s="2" t="s">
        <v>166</v>
      </c>
      <c r="D3" s="2" t="s">
        <v>163</v>
      </c>
      <c r="E3" s="2" t="n">
        <v>6</v>
      </c>
      <c r="F3" s="2"/>
      <c r="G3" s="2"/>
    </row>
    <row r="4" customFormat="false" ht="23.85" hidden="false" customHeight="false" outlineLevel="0" collapsed="false">
      <c r="A4" s="2" t="s">
        <v>167</v>
      </c>
      <c r="B4" s="2" t="s">
        <v>161</v>
      </c>
      <c r="C4" s="2" t="s">
        <v>168</v>
      </c>
      <c r="D4" s="2" t="s">
        <v>163</v>
      </c>
      <c r="E4" s="2" t="n">
        <v>4</v>
      </c>
      <c r="F4" s="2"/>
      <c r="G4" s="2"/>
    </row>
    <row r="5" customFormat="false" ht="35.05" hidden="false" customHeight="false" outlineLevel="0" collapsed="false">
      <c r="A5" s="2" t="s">
        <v>169</v>
      </c>
      <c r="B5" s="2" t="s">
        <v>161</v>
      </c>
      <c r="C5" s="2" t="s">
        <v>170</v>
      </c>
      <c r="D5" s="2" t="s">
        <v>163</v>
      </c>
      <c r="E5" s="2" t="n">
        <v>22</v>
      </c>
      <c r="F5" s="2" t="s">
        <v>171</v>
      </c>
      <c r="G5" s="2"/>
    </row>
    <row r="6" customFormat="false" ht="23.85" hidden="false" customHeight="false" outlineLevel="0" collapsed="false">
      <c r="A6" s="2" t="s">
        <v>172</v>
      </c>
      <c r="B6" s="2" t="s">
        <v>161</v>
      </c>
      <c r="C6" s="2" t="s">
        <v>173</v>
      </c>
      <c r="D6" s="2" t="s">
        <v>163</v>
      </c>
      <c r="E6" s="2" t="n">
        <v>11</v>
      </c>
      <c r="F6" s="2"/>
      <c r="G6" s="2"/>
    </row>
    <row r="7" customFormat="false" ht="23.85" hidden="false" customHeight="false" outlineLevel="0" collapsed="false">
      <c r="A7" s="2" t="s">
        <v>174</v>
      </c>
      <c r="B7" s="2" t="s">
        <v>161</v>
      </c>
      <c r="C7" s="2" t="s">
        <v>175</v>
      </c>
      <c r="D7" s="2" t="s">
        <v>163</v>
      </c>
      <c r="E7" s="2" t="n">
        <v>134</v>
      </c>
      <c r="F7" s="2" t="s">
        <v>176</v>
      </c>
      <c r="G7" s="2"/>
    </row>
    <row r="8" customFormat="false" ht="23.85" hidden="false" customHeight="false" outlineLevel="0" collapsed="false">
      <c r="A8" s="2" t="s">
        <v>177</v>
      </c>
      <c r="B8" s="2" t="s">
        <v>178</v>
      </c>
      <c r="C8" s="2" t="s">
        <v>179</v>
      </c>
      <c r="D8" s="2" t="s">
        <v>180</v>
      </c>
      <c r="E8" s="2" t="n">
        <v>3621</v>
      </c>
      <c r="F8" s="2" t="s">
        <v>181</v>
      </c>
      <c r="G8" s="2"/>
    </row>
    <row r="9" customFormat="false" ht="15" hidden="false" customHeight="false" outlineLevel="0" collapsed="false">
      <c r="A9" s="2" t="s">
        <v>182</v>
      </c>
      <c r="B9" s="2" t="s">
        <v>178</v>
      </c>
      <c r="C9" s="2" t="s">
        <v>183</v>
      </c>
      <c r="D9" s="2" t="s">
        <v>184</v>
      </c>
      <c r="E9" s="2" t="n">
        <v>70</v>
      </c>
      <c r="F9" s="2" t="s">
        <v>185</v>
      </c>
      <c r="G9" s="2"/>
    </row>
    <row r="10" customFormat="false" ht="15" hidden="false" customHeight="false" outlineLevel="0" collapsed="false">
      <c r="A10" s="2"/>
      <c r="B10" s="2"/>
      <c r="C10" s="2"/>
      <c r="D10" s="2"/>
      <c r="E10" s="2"/>
      <c r="F10" s="2"/>
      <c r="G10" s="2"/>
    </row>
    <row r="11" customFormat="false" ht="23.85" hidden="false" customHeight="false" outlineLevel="0" collapsed="false">
      <c r="A11" s="2"/>
      <c r="B11" s="2" t="s">
        <v>186</v>
      </c>
      <c r="C11" s="2"/>
      <c r="D11" s="2"/>
      <c r="E11" s="2" t="n">
        <f aca="false">SUM(E2:E7)</f>
        <v>186</v>
      </c>
      <c r="F11" s="2"/>
      <c r="G11" s="2"/>
    </row>
    <row r="12" customFormat="false" ht="46.25" hidden="false" customHeight="false" outlineLevel="0" collapsed="false">
      <c r="A12" s="2"/>
      <c r="B12" s="2" t="s">
        <v>187</v>
      </c>
      <c r="C12" s="2"/>
      <c r="D12" s="2"/>
      <c r="E12" s="2" t="n">
        <v>4</v>
      </c>
      <c r="F12" s="2" t="s">
        <v>188</v>
      </c>
      <c r="G12" s="2"/>
    </row>
    <row r="13" customFormat="false" ht="15" hidden="false" customHeight="false" outlineLevel="0" collapsed="false">
      <c r="A13" s="2"/>
      <c r="B13" s="2" t="s">
        <v>189</v>
      </c>
      <c r="C13" s="2"/>
      <c r="D13" s="2"/>
      <c r="E13" s="2" t="n">
        <f aca="false">E11-E12</f>
        <v>182</v>
      </c>
      <c r="F13" s="2"/>
      <c r="G13" s="2"/>
    </row>
    <row r="14" customFormat="false" ht="23.85" hidden="false" customHeight="false" outlineLevel="0" collapsed="false">
      <c r="A14" s="2"/>
      <c r="B14" s="2" t="s">
        <v>190</v>
      </c>
      <c r="C14" s="2"/>
      <c r="D14" s="2"/>
      <c r="E14" s="2" t="n">
        <f aca="false">E9</f>
        <v>70</v>
      </c>
      <c r="F14" s="2"/>
      <c r="G14" s="2"/>
    </row>
    <row r="15" customFormat="false" ht="35.05" hidden="false" customHeight="false" outlineLevel="0" collapsed="false">
      <c r="A15" s="2"/>
      <c r="B15" s="2" t="s">
        <v>191</v>
      </c>
      <c r="C15" s="2"/>
      <c r="D15" s="2"/>
      <c r="E15" s="2" t="n">
        <v>5</v>
      </c>
      <c r="F15" s="2" t="s">
        <v>192</v>
      </c>
      <c r="G15" s="2"/>
    </row>
    <row r="16" customFormat="false" ht="35.05" hidden="false" customHeight="false" outlineLevel="0" collapsed="false">
      <c r="A16" s="2"/>
      <c r="B16" s="2" t="s">
        <v>193</v>
      </c>
      <c r="C16" s="2"/>
      <c r="D16" s="2"/>
      <c r="E16" s="2" t="n">
        <f aca="false">E13+E14-E15</f>
        <v>247</v>
      </c>
      <c r="F16" s="2"/>
      <c r="G16" s="2"/>
    </row>
    <row r="17" customFormat="false" ht="15" hidden="false" customHeight="false" outlineLevel="0" collapsed="false">
      <c r="A17" s="2"/>
      <c r="B17" s="2" t="s">
        <v>2</v>
      </c>
      <c r="C17" s="2" t="s">
        <v>194</v>
      </c>
      <c r="D17" s="2"/>
      <c r="E17" s="2"/>
      <c r="F17" s="2"/>
      <c r="G17" s="2"/>
    </row>
    <row r="18" customFormat="false" ht="15" hidden="false" customHeight="false" outlineLevel="0" collapsed="false">
      <c r="A18" s="2"/>
      <c r="B18" s="2"/>
      <c r="C18" s="2"/>
      <c r="D18" s="2"/>
      <c r="E18" s="2"/>
      <c r="F18" s="2"/>
      <c r="G18" s="2"/>
    </row>
    <row r="19" customFormat="false" ht="90.25" hidden="false" customHeight="false" outlineLevel="0" collapsed="false">
      <c r="A19" s="4" t="s">
        <v>195</v>
      </c>
      <c r="B19" s="2"/>
      <c r="C19" s="2"/>
      <c r="D19" s="2"/>
      <c r="E19" s="2"/>
      <c r="F19" s="2"/>
      <c r="G19" s="2"/>
    </row>
    <row r="20" customFormat="false" ht="68.65" hidden="false" customHeight="false" outlineLevel="0" collapsed="false">
      <c r="A20" s="2" t="s">
        <v>196</v>
      </c>
      <c r="B20" s="2" t="s">
        <v>161</v>
      </c>
      <c r="C20" s="2" t="s">
        <v>197</v>
      </c>
      <c r="D20" s="2" t="s">
        <v>198</v>
      </c>
      <c r="E20" s="2" t="n">
        <v>465</v>
      </c>
      <c r="F20" s="2" t="s">
        <v>199</v>
      </c>
      <c r="G20" s="2"/>
    </row>
    <row r="21" customFormat="false" ht="68.65" hidden="false" customHeight="false" outlineLevel="0" collapsed="false">
      <c r="A21" s="2" t="s">
        <v>200</v>
      </c>
      <c r="B21" s="2" t="s">
        <v>178</v>
      </c>
      <c r="C21" s="2" t="s">
        <v>201</v>
      </c>
      <c r="D21" s="2" t="s">
        <v>202</v>
      </c>
      <c r="E21" s="2" t="n">
        <v>210</v>
      </c>
      <c r="F21" s="2" t="s">
        <v>203</v>
      </c>
      <c r="G21" s="2"/>
    </row>
    <row r="22" customFormat="false" ht="57.45" hidden="false" customHeight="false" outlineLevel="0" collapsed="false">
      <c r="A22" s="2" t="s">
        <v>204</v>
      </c>
      <c r="B22" s="2" t="s">
        <v>178</v>
      </c>
      <c r="C22" s="2" t="s">
        <v>205</v>
      </c>
      <c r="D22" s="2" t="s">
        <v>184</v>
      </c>
      <c r="E22" s="2" t="n">
        <v>30</v>
      </c>
      <c r="F22" s="2" t="s">
        <v>206</v>
      </c>
      <c r="G22" s="2"/>
    </row>
    <row r="23" customFormat="false" ht="46.25" hidden="false" customHeight="false" outlineLevel="0" collapsed="false">
      <c r="A23" s="2" t="s">
        <v>207</v>
      </c>
      <c r="B23" s="2" t="s">
        <v>161</v>
      </c>
      <c r="C23" s="2" t="s">
        <v>208</v>
      </c>
      <c r="D23" s="2" t="s">
        <v>209</v>
      </c>
      <c r="E23" s="2" t="n">
        <v>61</v>
      </c>
      <c r="F23" s="2" t="s">
        <v>210</v>
      </c>
      <c r="G23" s="2"/>
    </row>
    <row r="24" customFormat="false" ht="46.25" hidden="false" customHeight="false" outlineLevel="0" collapsed="false">
      <c r="A24" s="2"/>
      <c r="B24" s="2" t="s">
        <v>211</v>
      </c>
      <c r="C24" s="2"/>
      <c r="D24" s="2"/>
      <c r="E24" s="2" t="n">
        <f aca="false">E20+E21+E22+E23</f>
        <v>766</v>
      </c>
      <c r="F24" s="2"/>
      <c r="G24" s="2"/>
    </row>
    <row r="25" customFormat="false" ht="57.45" hidden="false" customHeight="false" outlineLevel="0" collapsed="false">
      <c r="A25" s="2"/>
      <c r="B25" s="2" t="s">
        <v>212</v>
      </c>
      <c r="C25" s="2"/>
      <c r="D25" s="2"/>
      <c r="E25" s="2" t="n">
        <f aca="false">COUNTIF('Abstract Screening'!G:G,"Duplicate (other database)")</f>
        <v>6</v>
      </c>
      <c r="F25" s="2" t="s">
        <v>213</v>
      </c>
      <c r="G25" s="2"/>
    </row>
    <row r="26" customFormat="false" ht="15" hidden="false" customHeight="false" outlineLevel="0" collapsed="false">
      <c r="A26" s="2"/>
      <c r="B26" s="2" t="s">
        <v>2</v>
      </c>
      <c r="C26" s="2" t="s">
        <v>214</v>
      </c>
      <c r="D26" s="2"/>
      <c r="E26" s="2"/>
      <c r="F26" s="2"/>
      <c r="G2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24"/>
    <col collapsed="false" customWidth="true" hidden="false" outlineLevel="0" max="4" min="4" style="0" width="10"/>
    <col collapsed="false" customWidth="true" hidden="false" outlineLevel="0" max="5" min="5" style="0" width="26"/>
    <col collapsed="false" customWidth="true" hidden="false" outlineLevel="0" max="6" min="6" style="0" width="40"/>
  </cols>
  <sheetData>
    <row r="1" customFormat="false" ht="15" hidden="false" customHeight="false" outlineLevel="0" collapsed="false">
      <c r="A1" s="1" t="s">
        <v>215</v>
      </c>
      <c r="B1" s="1" t="s">
        <v>216</v>
      </c>
      <c r="C1" s="1" t="s">
        <v>217</v>
      </c>
      <c r="D1" s="1" t="s">
        <v>218</v>
      </c>
      <c r="E1" s="1" t="s">
        <v>219</v>
      </c>
      <c r="F1" s="1" t="s">
        <v>220</v>
      </c>
    </row>
    <row r="2" customFormat="false" ht="15" hidden="false" customHeight="false" outlineLevel="0" collapsed="false">
      <c r="A2" s="2" t="s">
        <v>221</v>
      </c>
      <c r="B2" s="2" t="s">
        <v>222</v>
      </c>
      <c r="C2" s="2" t="s">
        <v>223</v>
      </c>
      <c r="D2" s="2" t="s">
        <v>224</v>
      </c>
      <c r="E2" s="2" t="s">
        <v>225</v>
      </c>
      <c r="F2" s="2" t="s">
        <v>226</v>
      </c>
    </row>
    <row r="3" customFormat="false" ht="23.85" hidden="false" customHeight="false" outlineLevel="0" collapsed="false">
      <c r="A3" s="2" t="s">
        <v>227</v>
      </c>
      <c r="B3" s="2" t="s">
        <v>228</v>
      </c>
      <c r="C3" s="2" t="s">
        <v>229</v>
      </c>
      <c r="D3" s="2" t="s">
        <v>165</v>
      </c>
      <c r="E3" s="2" t="s">
        <v>225</v>
      </c>
      <c r="F3" s="2" t="s">
        <v>230</v>
      </c>
    </row>
    <row r="4" customFormat="false" ht="15" hidden="false" customHeight="false" outlineLevel="0" collapsed="false">
      <c r="A4" s="2" t="s">
        <v>231</v>
      </c>
      <c r="B4" s="2" t="s">
        <v>232</v>
      </c>
      <c r="C4" s="2" t="s">
        <v>233</v>
      </c>
      <c r="D4" s="2" t="s">
        <v>234</v>
      </c>
      <c r="E4" s="2" t="s">
        <v>225</v>
      </c>
      <c r="F4" s="2" t="s">
        <v>235</v>
      </c>
    </row>
    <row r="5" customFormat="false" ht="15" hidden="false" customHeight="false" outlineLevel="0" collapsed="false">
      <c r="A5" s="2" t="s">
        <v>236</v>
      </c>
      <c r="B5" s="2" t="s">
        <v>237</v>
      </c>
      <c r="C5" s="2" t="s">
        <v>238</v>
      </c>
      <c r="D5" s="2" t="s">
        <v>239</v>
      </c>
      <c r="E5" s="2" t="s">
        <v>225</v>
      </c>
      <c r="F5" s="2" t="s">
        <v>240</v>
      </c>
    </row>
    <row r="6" customFormat="false" ht="23.85" hidden="false" customHeight="false" outlineLevel="0" collapsed="false">
      <c r="A6" s="2" t="s">
        <v>241</v>
      </c>
      <c r="B6" s="2" t="s">
        <v>242</v>
      </c>
      <c r="C6" s="2" t="s">
        <v>243</v>
      </c>
      <c r="D6" s="2" t="s">
        <v>169</v>
      </c>
      <c r="E6" s="2" t="s">
        <v>225</v>
      </c>
      <c r="F6" s="2" t="s">
        <v>240</v>
      </c>
    </row>
    <row r="7" customFormat="false" ht="23.85" hidden="false" customHeight="false" outlineLevel="0" collapsed="false">
      <c r="A7" s="2" t="s">
        <v>244</v>
      </c>
      <c r="B7" s="2" t="s">
        <v>245</v>
      </c>
      <c r="C7" s="2" t="s">
        <v>246</v>
      </c>
      <c r="D7" s="2" t="s">
        <v>169</v>
      </c>
      <c r="E7" s="2" t="s">
        <v>225</v>
      </c>
      <c r="F7" s="2" t="s">
        <v>226</v>
      </c>
    </row>
    <row r="8" customFormat="false" ht="23.85" hidden="false" customHeight="false" outlineLevel="0" collapsed="false">
      <c r="A8" s="2" t="s">
        <v>247</v>
      </c>
      <c r="B8" s="2" t="s">
        <v>248</v>
      </c>
      <c r="C8" s="2" t="s">
        <v>249</v>
      </c>
      <c r="D8" s="2" t="s">
        <v>169</v>
      </c>
      <c r="E8" s="2" t="s">
        <v>225</v>
      </c>
      <c r="F8" s="2" t="s">
        <v>250</v>
      </c>
    </row>
    <row r="9" customFormat="false" ht="15" hidden="false" customHeight="false" outlineLevel="0" collapsed="false">
      <c r="A9" s="2" t="s">
        <v>251</v>
      </c>
      <c r="B9" s="2" t="s">
        <v>252</v>
      </c>
      <c r="C9" s="2" t="s">
        <v>253</v>
      </c>
      <c r="D9" s="2" t="s">
        <v>172</v>
      </c>
      <c r="E9" s="2" t="s">
        <v>225</v>
      </c>
      <c r="F9" s="2" t="s">
        <v>250</v>
      </c>
    </row>
    <row r="10" customFormat="false" ht="23.85" hidden="false" customHeight="false" outlineLevel="0" collapsed="false">
      <c r="A10" s="2" t="s">
        <v>254</v>
      </c>
      <c r="B10" s="2" t="s">
        <v>255</v>
      </c>
      <c r="C10" s="2" t="s">
        <v>256</v>
      </c>
      <c r="D10" s="2" t="s">
        <v>172</v>
      </c>
      <c r="E10" s="2" t="s">
        <v>225</v>
      </c>
      <c r="F10" s="2" t="s">
        <v>257</v>
      </c>
    </row>
    <row r="11" customFormat="false" ht="15" hidden="false" customHeight="false" outlineLevel="0" collapsed="false">
      <c r="A11" s="2" t="s">
        <v>258</v>
      </c>
      <c r="B11" s="2" t="s">
        <v>259</v>
      </c>
      <c r="C11" s="2" t="s">
        <v>260</v>
      </c>
      <c r="D11" s="2" t="s">
        <v>174</v>
      </c>
      <c r="E11" s="2" t="s">
        <v>225</v>
      </c>
      <c r="F11" s="2" t="s">
        <v>261</v>
      </c>
    </row>
    <row r="12" customFormat="false" ht="23.85" hidden="false" customHeight="false" outlineLevel="0" collapsed="false">
      <c r="A12" s="2" t="s">
        <v>262</v>
      </c>
      <c r="B12" s="2" t="s">
        <v>263</v>
      </c>
      <c r="C12" s="2" t="s">
        <v>264</v>
      </c>
      <c r="D12" s="2" t="s">
        <v>174</v>
      </c>
      <c r="E12" s="2" t="s">
        <v>225</v>
      </c>
      <c r="F12" s="2" t="s">
        <v>265</v>
      </c>
    </row>
    <row r="13" customFormat="false" ht="23.85" hidden="false" customHeight="false" outlineLevel="0" collapsed="false">
      <c r="A13" s="2" t="s">
        <v>266</v>
      </c>
      <c r="B13" s="2" t="s">
        <v>267</v>
      </c>
      <c r="C13" s="2" t="s">
        <v>268</v>
      </c>
      <c r="D13" s="2" t="s">
        <v>174</v>
      </c>
      <c r="E13" s="2" t="s">
        <v>225</v>
      </c>
      <c r="F13" s="2" t="s">
        <v>240</v>
      </c>
    </row>
    <row r="14" customFormat="false" ht="23.85" hidden="false" customHeight="false" outlineLevel="0" collapsed="false">
      <c r="A14" s="2" t="s">
        <v>269</v>
      </c>
      <c r="B14" s="2" t="s">
        <v>270</v>
      </c>
      <c r="C14" s="2" t="s">
        <v>271</v>
      </c>
      <c r="D14" s="2" t="s">
        <v>174</v>
      </c>
      <c r="E14" s="2" t="s">
        <v>225</v>
      </c>
      <c r="F14" s="2" t="s">
        <v>226</v>
      </c>
    </row>
    <row r="15" customFormat="false" ht="23.85" hidden="false" customHeight="false" outlineLevel="0" collapsed="false">
      <c r="A15" s="2" t="s">
        <v>272</v>
      </c>
      <c r="B15" s="2" t="s">
        <v>273</v>
      </c>
      <c r="C15" s="2" t="s">
        <v>274</v>
      </c>
      <c r="D15" s="2" t="s">
        <v>174</v>
      </c>
      <c r="E15" s="2" t="s">
        <v>225</v>
      </c>
      <c r="F15" s="2" t="s">
        <v>240</v>
      </c>
    </row>
    <row r="16" customFormat="false" ht="23.85" hidden="false" customHeight="false" outlineLevel="0" collapsed="false">
      <c r="A16" s="2" t="s">
        <v>275</v>
      </c>
      <c r="B16" s="2" t="s">
        <v>276</v>
      </c>
      <c r="C16" s="2" t="s">
        <v>277</v>
      </c>
      <c r="D16" s="2" t="s">
        <v>174</v>
      </c>
      <c r="E16" s="2" t="s">
        <v>225</v>
      </c>
      <c r="F16" s="2" t="s">
        <v>278</v>
      </c>
    </row>
    <row r="17" customFormat="false" ht="15" hidden="false" customHeight="false" outlineLevel="0" collapsed="false">
      <c r="A17" s="2" t="s">
        <v>279</v>
      </c>
      <c r="B17" s="2" t="s">
        <v>280</v>
      </c>
      <c r="C17" s="2" t="s">
        <v>281</v>
      </c>
      <c r="D17" s="2" t="s">
        <v>174</v>
      </c>
      <c r="E17" s="2" t="s">
        <v>225</v>
      </c>
      <c r="F17" s="2" t="s">
        <v>250</v>
      </c>
    </row>
    <row r="18" customFormat="false" ht="15" hidden="false" customHeight="false" outlineLevel="0" collapsed="false">
      <c r="A18" s="2" t="s">
        <v>282</v>
      </c>
      <c r="B18" s="2" t="s">
        <v>283</v>
      </c>
      <c r="C18" s="2" t="s">
        <v>284</v>
      </c>
      <c r="D18" s="2" t="s">
        <v>174</v>
      </c>
      <c r="E18" s="2" t="s">
        <v>225</v>
      </c>
      <c r="F18" s="2" t="s">
        <v>285</v>
      </c>
    </row>
    <row r="19" customFormat="false" ht="15" hidden="false" customHeight="false" outlineLevel="0" collapsed="false">
      <c r="A19" s="2" t="s">
        <v>286</v>
      </c>
      <c r="B19" s="2" t="s">
        <v>287</v>
      </c>
      <c r="C19" s="2" t="s">
        <v>288</v>
      </c>
      <c r="D19" s="2" t="s">
        <v>174</v>
      </c>
      <c r="E19" s="2" t="s">
        <v>225</v>
      </c>
      <c r="F19" s="2" t="s">
        <v>226</v>
      </c>
    </row>
    <row r="20" customFormat="false" ht="15" hidden="false" customHeight="false" outlineLevel="0" collapsed="false">
      <c r="A20" s="2" t="s">
        <v>289</v>
      </c>
      <c r="B20" s="2" t="s">
        <v>290</v>
      </c>
      <c r="C20" s="2" t="s">
        <v>291</v>
      </c>
      <c r="D20" s="2" t="s">
        <v>292</v>
      </c>
      <c r="E20" s="2" t="s">
        <v>225</v>
      </c>
      <c r="F20" s="2" t="s">
        <v>293</v>
      </c>
    </row>
    <row r="21" customFormat="false" ht="23.85" hidden="false" customHeight="false" outlineLevel="0" collapsed="false">
      <c r="A21" s="2" t="s">
        <v>294</v>
      </c>
      <c r="B21" s="2" t="s">
        <v>295</v>
      </c>
      <c r="C21" s="2" t="s">
        <v>296</v>
      </c>
      <c r="D21" s="2" t="s">
        <v>174</v>
      </c>
      <c r="E21" s="2" t="s">
        <v>225</v>
      </c>
      <c r="F21" s="2" t="s">
        <v>297</v>
      </c>
    </row>
    <row r="22" customFormat="false" ht="23.85" hidden="false" customHeight="false" outlineLevel="0" collapsed="false">
      <c r="A22" s="2" t="s">
        <v>298</v>
      </c>
      <c r="B22" s="2" t="s">
        <v>299</v>
      </c>
      <c r="C22" s="2" t="s">
        <v>300</v>
      </c>
      <c r="D22" s="2" t="s">
        <v>174</v>
      </c>
      <c r="E22" s="2" t="s">
        <v>225</v>
      </c>
      <c r="F22" s="2" t="s">
        <v>250</v>
      </c>
    </row>
    <row r="23" customFormat="false" ht="15" hidden="false" customHeight="false" outlineLevel="0" collapsed="false">
      <c r="A23" s="2" t="s">
        <v>301</v>
      </c>
      <c r="B23" s="2" t="s">
        <v>302</v>
      </c>
      <c r="C23" s="2" t="s">
        <v>303</v>
      </c>
      <c r="D23" s="2" t="s">
        <v>174</v>
      </c>
      <c r="E23" s="2" t="s">
        <v>225</v>
      </c>
      <c r="F23" s="2" t="s">
        <v>304</v>
      </c>
    </row>
    <row r="24" customFormat="false" ht="23.85" hidden="false" customHeight="false" outlineLevel="0" collapsed="false">
      <c r="A24" s="2" t="s">
        <v>305</v>
      </c>
      <c r="B24" s="2" t="s">
        <v>306</v>
      </c>
      <c r="C24" s="2" t="s">
        <v>307</v>
      </c>
      <c r="D24" s="2" t="s">
        <v>174</v>
      </c>
      <c r="E24" s="2" t="s">
        <v>225</v>
      </c>
      <c r="F24" s="2" t="s">
        <v>308</v>
      </c>
    </row>
    <row r="25" customFormat="false" ht="23.85" hidden="false" customHeight="false" outlineLevel="0" collapsed="false">
      <c r="A25" s="2" t="s">
        <v>309</v>
      </c>
      <c r="B25" s="2" t="s">
        <v>310</v>
      </c>
      <c r="C25" s="2" t="s">
        <v>311</v>
      </c>
      <c r="D25" s="2" t="s">
        <v>174</v>
      </c>
      <c r="E25" s="2" t="s">
        <v>225</v>
      </c>
      <c r="F25" s="2" t="s">
        <v>312</v>
      </c>
    </row>
    <row r="26" customFormat="false" ht="15" hidden="false" customHeight="false" outlineLevel="0" collapsed="false">
      <c r="A26" s="2" t="s">
        <v>313</v>
      </c>
      <c r="B26" s="2" t="s">
        <v>314</v>
      </c>
      <c r="C26" s="2" t="s">
        <v>315</v>
      </c>
      <c r="D26" s="2" t="s">
        <v>292</v>
      </c>
      <c r="E26" s="2" t="s">
        <v>225</v>
      </c>
      <c r="F26" s="2" t="s">
        <v>250</v>
      </c>
    </row>
    <row r="27" customFormat="false" ht="15" hidden="false" customHeight="false" outlineLevel="0" collapsed="false">
      <c r="A27" s="2" t="s">
        <v>316</v>
      </c>
      <c r="B27" s="2" t="s">
        <v>317</v>
      </c>
      <c r="C27" s="2" t="s">
        <v>318</v>
      </c>
      <c r="D27" s="2" t="s">
        <v>174</v>
      </c>
      <c r="E27" s="2" t="s">
        <v>225</v>
      </c>
      <c r="F27" s="2" t="s">
        <v>304</v>
      </c>
    </row>
    <row r="28" customFormat="false" ht="23.85" hidden="false" customHeight="false" outlineLevel="0" collapsed="false">
      <c r="A28" s="2" t="s">
        <v>319</v>
      </c>
      <c r="B28" s="2" t="s">
        <v>320</v>
      </c>
      <c r="C28" s="2" t="s">
        <v>321</v>
      </c>
      <c r="D28" s="2" t="s">
        <v>174</v>
      </c>
      <c r="E28" s="2" t="s">
        <v>225</v>
      </c>
      <c r="F28" s="2" t="s">
        <v>226</v>
      </c>
    </row>
    <row r="29" customFormat="false" ht="23.85" hidden="false" customHeight="false" outlineLevel="0" collapsed="false">
      <c r="A29" s="2" t="s">
        <v>322</v>
      </c>
      <c r="B29" s="2" t="s">
        <v>323</v>
      </c>
      <c r="C29" s="2" t="s">
        <v>324</v>
      </c>
      <c r="D29" s="2" t="s">
        <v>174</v>
      </c>
      <c r="E29" s="2" t="s">
        <v>225</v>
      </c>
      <c r="F29" s="2" t="s">
        <v>226</v>
      </c>
    </row>
    <row r="30" customFormat="false" ht="15" hidden="false" customHeight="false" outlineLevel="0" collapsed="false">
      <c r="A30" s="2" t="s">
        <v>325</v>
      </c>
      <c r="B30" s="2" t="s">
        <v>326</v>
      </c>
      <c r="C30" s="2" t="s">
        <v>327</v>
      </c>
      <c r="D30" s="2" t="s">
        <v>174</v>
      </c>
      <c r="E30" s="2" t="s">
        <v>225</v>
      </c>
      <c r="F30" s="2" t="s">
        <v>304</v>
      </c>
    </row>
    <row r="31" customFormat="false" ht="23.85" hidden="false" customHeight="false" outlineLevel="0" collapsed="false">
      <c r="A31" s="2" t="s">
        <v>328</v>
      </c>
      <c r="B31" s="2" t="s">
        <v>329</v>
      </c>
      <c r="C31" s="2" t="s">
        <v>330</v>
      </c>
      <c r="D31" s="2" t="s">
        <v>174</v>
      </c>
      <c r="E31" s="2" t="s">
        <v>225</v>
      </c>
      <c r="F31" s="2" t="s">
        <v>331</v>
      </c>
    </row>
    <row r="32" customFormat="false" ht="23.85" hidden="false" customHeight="false" outlineLevel="0" collapsed="false">
      <c r="A32" s="2" t="s">
        <v>332</v>
      </c>
      <c r="B32" s="2" t="s">
        <v>333</v>
      </c>
      <c r="C32" s="2" t="s">
        <v>334</v>
      </c>
      <c r="D32" s="2" t="s">
        <v>182</v>
      </c>
      <c r="E32" s="2" t="s">
        <v>225</v>
      </c>
      <c r="F32" s="2" t="s">
        <v>335</v>
      </c>
    </row>
    <row r="33" customFormat="false" ht="23.85" hidden="false" customHeight="false" outlineLevel="0" collapsed="false">
      <c r="A33" s="2" t="s">
        <v>336</v>
      </c>
      <c r="B33" s="2" t="s">
        <v>337</v>
      </c>
      <c r="C33" s="2" t="s">
        <v>338</v>
      </c>
      <c r="D33" s="2" t="s">
        <v>182</v>
      </c>
      <c r="E33" s="2" t="s">
        <v>225</v>
      </c>
      <c r="F33" s="2" t="s">
        <v>278</v>
      </c>
    </row>
    <row r="34" customFormat="false" ht="15" hidden="false" customHeight="false" outlineLevel="0" collapsed="false">
      <c r="A34" s="2" t="s">
        <v>339</v>
      </c>
      <c r="B34" s="2" t="s">
        <v>340</v>
      </c>
      <c r="C34" s="2" t="s">
        <v>341</v>
      </c>
      <c r="D34" s="2" t="s">
        <v>182</v>
      </c>
      <c r="E34" s="2" t="s">
        <v>225</v>
      </c>
      <c r="F34" s="2" t="s">
        <v>342</v>
      </c>
    </row>
    <row r="35" customFormat="false" ht="15" hidden="false" customHeight="false" outlineLevel="0" collapsed="false">
      <c r="A35" s="2" t="s">
        <v>343</v>
      </c>
      <c r="B35" s="2" t="s">
        <v>344</v>
      </c>
      <c r="C35" s="2" t="s">
        <v>345</v>
      </c>
      <c r="D35" s="2" t="s">
        <v>182</v>
      </c>
      <c r="E35" s="2" t="s">
        <v>225</v>
      </c>
      <c r="F35" s="2" t="s">
        <v>226</v>
      </c>
    </row>
    <row r="36" customFormat="false" ht="23.85" hidden="false" customHeight="false" outlineLevel="0" collapsed="false">
      <c r="A36" s="2" t="s">
        <v>346</v>
      </c>
      <c r="B36" s="2" t="s">
        <v>347</v>
      </c>
      <c r="C36" s="2" t="s">
        <v>348</v>
      </c>
      <c r="D36" s="2" t="s">
        <v>182</v>
      </c>
      <c r="E36" s="2" t="s">
        <v>225</v>
      </c>
      <c r="F36" s="2" t="s">
        <v>349</v>
      </c>
    </row>
    <row r="37" customFormat="false" ht="23.85" hidden="false" customHeight="false" outlineLevel="0" collapsed="false">
      <c r="A37" s="2" t="s">
        <v>350</v>
      </c>
      <c r="B37" s="2" t="s">
        <v>351</v>
      </c>
      <c r="C37" s="2" t="s">
        <v>352</v>
      </c>
      <c r="D37" s="2" t="s">
        <v>182</v>
      </c>
      <c r="E37" s="2" t="s">
        <v>225</v>
      </c>
      <c r="F37" s="2" t="s">
        <v>250</v>
      </c>
    </row>
    <row r="38" customFormat="false" ht="15" hidden="false" customHeight="false" outlineLevel="0" collapsed="false">
      <c r="A38" s="2" t="s">
        <v>353</v>
      </c>
      <c r="B38" s="2" t="s">
        <v>354</v>
      </c>
      <c r="C38" s="2" t="s">
        <v>355</v>
      </c>
      <c r="D38" s="2" t="s">
        <v>182</v>
      </c>
      <c r="E38" s="2" t="s">
        <v>225</v>
      </c>
      <c r="F38" s="2" t="s">
        <v>356</v>
      </c>
    </row>
    <row r="39" customFormat="false" ht="23.85" hidden="false" customHeight="false" outlineLevel="0" collapsed="false">
      <c r="A39" s="2" t="s">
        <v>357</v>
      </c>
      <c r="B39" s="2" t="s">
        <v>358</v>
      </c>
      <c r="C39" s="2" t="s">
        <v>359</v>
      </c>
      <c r="D39" s="2" t="s">
        <v>182</v>
      </c>
      <c r="E39" s="2" t="s">
        <v>225</v>
      </c>
      <c r="F39" s="2" t="s">
        <v>293</v>
      </c>
    </row>
    <row r="40" customFormat="false" ht="23.85" hidden="false" customHeight="false" outlineLevel="0" collapsed="false">
      <c r="A40" s="2" t="s">
        <v>360</v>
      </c>
      <c r="B40" s="2" t="s">
        <v>361</v>
      </c>
      <c r="C40" s="2" t="s">
        <v>362</v>
      </c>
      <c r="D40" s="2" t="s">
        <v>182</v>
      </c>
      <c r="E40" s="2" t="s">
        <v>225</v>
      </c>
      <c r="F40" s="2" t="s">
        <v>363</v>
      </c>
    </row>
    <row r="41" customFormat="false" ht="15" hidden="false" customHeight="false" outlineLevel="0" collapsed="false">
      <c r="A41" s="2" t="s">
        <v>364</v>
      </c>
      <c r="B41" s="2" t="s">
        <v>365</v>
      </c>
      <c r="C41" s="2" t="s">
        <v>348</v>
      </c>
      <c r="D41" s="2" t="s">
        <v>182</v>
      </c>
      <c r="E41" s="2" t="s">
        <v>225</v>
      </c>
      <c r="F41" s="2" t="s">
        <v>366</v>
      </c>
    </row>
    <row r="42" customFormat="false" ht="15" hidden="false" customHeight="false" outlineLevel="0" collapsed="false">
      <c r="A42" s="2" t="s">
        <v>367</v>
      </c>
      <c r="B42" s="2" t="s">
        <v>368</v>
      </c>
      <c r="C42" s="2" t="s">
        <v>369</v>
      </c>
      <c r="D42" s="2" t="s">
        <v>182</v>
      </c>
      <c r="E42" s="2" t="s">
        <v>225</v>
      </c>
      <c r="F42" s="2" t="s">
        <v>370</v>
      </c>
    </row>
    <row r="43" customFormat="false" ht="23.85" hidden="false" customHeight="false" outlineLevel="0" collapsed="false">
      <c r="A43" s="2" t="s">
        <v>371</v>
      </c>
      <c r="B43" s="2" t="s">
        <v>372</v>
      </c>
      <c r="C43" s="2" t="s">
        <v>373</v>
      </c>
      <c r="D43" s="2" t="s">
        <v>174</v>
      </c>
      <c r="E43" s="2" t="s">
        <v>374</v>
      </c>
      <c r="F43" s="2" t="s">
        <v>375</v>
      </c>
    </row>
    <row r="44" customFormat="false" ht="23.85" hidden="false" customHeight="false" outlineLevel="0" collapsed="false">
      <c r="A44" s="2" t="s">
        <v>376</v>
      </c>
      <c r="B44" s="2" t="s">
        <v>377</v>
      </c>
      <c r="C44" s="2" t="s">
        <v>378</v>
      </c>
      <c r="D44" s="2" t="s">
        <v>174</v>
      </c>
      <c r="E44" s="2" t="s">
        <v>374</v>
      </c>
      <c r="F44" s="2"/>
    </row>
    <row r="45" customFormat="false" ht="15" hidden="false" customHeight="false" outlineLevel="0" collapsed="false">
      <c r="A45" s="2" t="s">
        <v>379</v>
      </c>
      <c r="B45" s="2" t="s">
        <v>380</v>
      </c>
      <c r="C45" s="2" t="s">
        <v>268</v>
      </c>
      <c r="D45" s="2" t="s">
        <v>174</v>
      </c>
      <c r="E45" s="2" t="s">
        <v>381</v>
      </c>
      <c r="F45" s="2" t="s">
        <v>382</v>
      </c>
    </row>
    <row r="46" customFormat="false" ht="15" hidden="false" customHeight="false" outlineLevel="0" collapsed="false">
      <c r="A46" s="2" t="s">
        <v>383</v>
      </c>
      <c r="B46" s="2" t="s">
        <v>384</v>
      </c>
      <c r="C46" s="2" t="s">
        <v>385</v>
      </c>
      <c r="D46" s="2" t="s">
        <v>182</v>
      </c>
      <c r="E46" s="2" t="s">
        <v>386</v>
      </c>
      <c r="F46" s="2"/>
    </row>
    <row r="47" customFormat="false" ht="15" hidden="false" customHeight="false" outlineLevel="0" collapsed="false">
      <c r="A47" s="2" t="s">
        <v>387</v>
      </c>
      <c r="B47" s="2" t="s">
        <v>388</v>
      </c>
      <c r="C47" s="2" t="s">
        <v>389</v>
      </c>
      <c r="D47" s="2" t="s">
        <v>182</v>
      </c>
      <c r="E47" s="2" t="s">
        <v>390</v>
      </c>
      <c r="F47" s="2"/>
    </row>
    <row r="49" customFormat="false" ht="15" hidden="false" customHeight="false" outlineLevel="0" collapsed="false">
      <c r="B49" s="5" t="s">
        <v>391</v>
      </c>
      <c r="E49" s="6" t="n">
        <f aca="false">COUNTIF(E2:E47,"Include for abstract screening")</f>
        <v>41</v>
      </c>
    </row>
    <row r="50" customFormat="false" ht="15" hidden="false" customHeight="false" outlineLevel="0" collapsed="false">
      <c r="B50" s="7"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22"/>
    <col collapsed="false" customWidth="true" hidden="false" outlineLevel="0" max="4" min="4" style="0" width="60"/>
  </cols>
  <sheetData>
    <row r="1" customFormat="false" ht="26.85" hidden="false" customHeight="false" outlineLevel="0" collapsed="false">
      <c r="A1" s="1" t="s">
        <v>393</v>
      </c>
      <c r="B1" s="1" t="s">
        <v>156</v>
      </c>
      <c r="C1" s="1" t="s">
        <v>394</v>
      </c>
      <c r="D1" s="1" t="s">
        <v>395</v>
      </c>
    </row>
    <row r="2" customFormat="false" ht="15" hidden="false" customHeight="false" outlineLevel="0" collapsed="false">
      <c r="A2" s="2" t="s">
        <v>396</v>
      </c>
      <c r="B2" s="2" t="s">
        <v>161</v>
      </c>
      <c r="C2" s="2" t="s">
        <v>397</v>
      </c>
      <c r="D2" s="2"/>
    </row>
    <row r="3" customFormat="false" ht="15" hidden="false" customHeight="false" outlineLevel="0" collapsed="false">
      <c r="A3" s="2" t="s">
        <v>398</v>
      </c>
      <c r="B3" s="2" t="s">
        <v>161</v>
      </c>
      <c r="C3" s="2" t="s">
        <v>397</v>
      </c>
      <c r="D3" s="2" t="s">
        <v>399</v>
      </c>
    </row>
    <row r="4" customFormat="false" ht="15" hidden="false" customHeight="false" outlineLevel="0" collapsed="false">
      <c r="A4" s="2" t="s">
        <v>400</v>
      </c>
      <c r="B4" s="2" t="s">
        <v>178</v>
      </c>
      <c r="C4" s="2" t="s">
        <v>397</v>
      </c>
      <c r="D4" s="2"/>
    </row>
    <row r="5" customFormat="false" ht="15" hidden="false" customHeight="false" outlineLevel="0" collapsed="false">
      <c r="A5" s="2" t="s">
        <v>401</v>
      </c>
      <c r="B5" s="2" t="s">
        <v>178</v>
      </c>
      <c r="C5" s="2" t="s">
        <v>397</v>
      </c>
      <c r="D5" s="2"/>
    </row>
    <row r="6" customFormat="false" ht="15" hidden="false" customHeight="false" outlineLevel="0" collapsed="false">
      <c r="A6" s="2" t="s">
        <v>402</v>
      </c>
      <c r="B6" s="2" t="s">
        <v>178</v>
      </c>
      <c r="C6" s="2" t="s">
        <v>397</v>
      </c>
      <c r="D6" s="2"/>
    </row>
    <row r="7" customFormat="false" ht="23.85" hidden="false" customHeight="false" outlineLevel="0" collapsed="false">
      <c r="A7" s="2" t="s">
        <v>403</v>
      </c>
      <c r="B7" s="2" t="s">
        <v>178</v>
      </c>
      <c r="C7" s="2" t="s">
        <v>397</v>
      </c>
      <c r="D7" s="2" t="s">
        <v>404</v>
      </c>
    </row>
    <row r="8" customFormat="false" ht="23.85" hidden="false" customHeight="false" outlineLevel="0" collapsed="false">
      <c r="A8" s="2" t="s">
        <v>405</v>
      </c>
      <c r="B8" s="2" t="s">
        <v>178</v>
      </c>
      <c r="C8" s="2" t="s">
        <v>406</v>
      </c>
      <c r="D8" s="2" t="s">
        <v>407</v>
      </c>
    </row>
    <row r="9" customFormat="false" ht="15" hidden="false" customHeight="false" outlineLevel="0" collapsed="false">
      <c r="A9" s="2" t="s">
        <v>408</v>
      </c>
      <c r="B9" s="2" t="s">
        <v>178</v>
      </c>
      <c r="C9" s="2" t="s">
        <v>397</v>
      </c>
      <c r="D9" s="2" t="s">
        <v>409</v>
      </c>
    </row>
    <row r="10" customFormat="false" ht="23.85" hidden="false" customHeight="false" outlineLevel="0" collapsed="false">
      <c r="A10" s="2" t="s">
        <v>410</v>
      </c>
      <c r="B10" s="2" t="s">
        <v>178</v>
      </c>
      <c r="C10" s="2" t="s">
        <v>406</v>
      </c>
      <c r="D10" s="2" t="s">
        <v>411</v>
      </c>
    </row>
    <row r="11" customFormat="false" ht="35.05" hidden="false" customHeight="false" outlineLevel="0" collapsed="false">
      <c r="A11" s="2" t="s">
        <v>412</v>
      </c>
      <c r="B11" s="2"/>
      <c r="C11" s="2" t="str">
        <f aca="false">COUNTIF(C2:C10,"Yes")&amp;" of "&amp;COUNTA(C2:C10)</f>
        <v>7 of 9</v>
      </c>
      <c r="D11" s="2" t="s">
        <v>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60"/>
    <col collapsed="false" customWidth="true" hidden="false" outlineLevel="0" max="4" min="4" style="0" width="18"/>
    <col collapsed="false" customWidth="true" hidden="false" outlineLevel="0" max="5" min="5" style="0" width="6"/>
    <col collapsed="false" customWidth="true" hidden="false" outlineLevel="0" max="6" min="6" style="0" width="28"/>
    <col collapsed="false" customWidth="true" hidden="false" outlineLevel="0" max="7" min="7" style="0" width="22"/>
    <col collapsed="false" customWidth="true" hidden="false" outlineLevel="0" max="8" min="8" style="0" width="40"/>
    <col collapsed="false" customWidth="true" hidden="false" outlineLevel="0" max="9" min="9" style="0" width="12"/>
    <col collapsed="false" customWidth="true" hidden="false" outlineLevel="0" max="10" min="10" style="0" width="34"/>
    <col collapsed="false" customWidth="true" hidden="false" outlineLevel="0" max="11" min="11" style="0" width="22"/>
  </cols>
  <sheetData>
    <row r="1" customFormat="false" ht="26.85" hidden="false" customHeight="false" outlineLevel="0" collapsed="false">
      <c r="A1" s="1" t="s">
        <v>215</v>
      </c>
      <c r="B1" s="1" t="s">
        <v>414</v>
      </c>
      <c r="C1" s="1" t="s">
        <v>216</v>
      </c>
      <c r="D1" s="1" t="s">
        <v>217</v>
      </c>
      <c r="E1" s="1" t="s">
        <v>415</v>
      </c>
      <c r="F1" s="1" t="s">
        <v>416</v>
      </c>
      <c r="G1" s="1" t="s">
        <v>417</v>
      </c>
      <c r="H1" s="1" t="s">
        <v>418</v>
      </c>
      <c r="I1" s="1" t="s">
        <v>419</v>
      </c>
      <c r="J1" s="1" t="s">
        <v>41</v>
      </c>
      <c r="K1" s="1" t="s">
        <v>420</v>
      </c>
    </row>
    <row r="2" customFormat="false" ht="23.85" hidden="false" customHeight="false" outlineLevel="0" collapsed="false">
      <c r="A2" s="2" t="s">
        <v>421</v>
      </c>
      <c r="B2" s="2" t="s">
        <v>422</v>
      </c>
      <c r="C2" s="2" t="s">
        <v>423</v>
      </c>
      <c r="D2" s="2" t="s">
        <v>424</v>
      </c>
      <c r="E2" s="2" t="n">
        <v>2025</v>
      </c>
      <c r="F2" s="2" t="s">
        <v>425</v>
      </c>
      <c r="G2" s="2" t="s">
        <v>426</v>
      </c>
      <c r="H2" s="2" t="s">
        <v>427</v>
      </c>
      <c r="I2" s="2" t="s">
        <v>226</v>
      </c>
      <c r="J2" s="2"/>
      <c r="K2" s="2" t="s">
        <v>428</v>
      </c>
    </row>
    <row r="3" customFormat="false" ht="23.85" hidden="false" customHeight="false" outlineLevel="0" collapsed="false">
      <c r="A3" s="2" t="s">
        <v>429</v>
      </c>
      <c r="B3" s="2" t="s">
        <v>422</v>
      </c>
      <c r="C3" s="2" t="s">
        <v>430</v>
      </c>
      <c r="D3" s="2" t="s">
        <v>431</v>
      </c>
      <c r="E3" s="2" t="n">
        <v>2026</v>
      </c>
      <c r="F3" s="2" t="s">
        <v>432</v>
      </c>
      <c r="G3" s="2" t="s">
        <v>426</v>
      </c>
      <c r="H3" s="2" t="s">
        <v>427</v>
      </c>
      <c r="I3" s="2" t="s">
        <v>226</v>
      </c>
      <c r="J3" s="2" t="s">
        <v>433</v>
      </c>
      <c r="K3" s="2" t="s">
        <v>434</v>
      </c>
    </row>
    <row r="4" customFormat="false" ht="23.85" hidden="false" customHeight="false" outlineLevel="0" collapsed="false">
      <c r="A4" s="2" t="s">
        <v>435</v>
      </c>
      <c r="B4" s="2" t="s">
        <v>422</v>
      </c>
      <c r="C4" s="2" t="s">
        <v>436</v>
      </c>
      <c r="D4" s="2" t="s">
        <v>437</v>
      </c>
      <c r="E4" s="2" t="n">
        <v>2024</v>
      </c>
      <c r="F4" s="2" t="s">
        <v>438</v>
      </c>
      <c r="G4" s="2" t="s">
        <v>426</v>
      </c>
      <c r="H4" s="2" t="s">
        <v>439</v>
      </c>
      <c r="I4" s="2" t="s">
        <v>240</v>
      </c>
      <c r="J4" s="2"/>
      <c r="K4" s="2" t="s">
        <v>434</v>
      </c>
    </row>
    <row r="5" customFormat="false" ht="23.85" hidden="false" customHeight="false" outlineLevel="0" collapsed="false">
      <c r="A5" s="2" t="s">
        <v>440</v>
      </c>
      <c r="B5" s="2" t="s">
        <v>422</v>
      </c>
      <c r="C5" s="2" t="s">
        <v>441</v>
      </c>
      <c r="D5" s="2" t="s">
        <v>442</v>
      </c>
      <c r="E5" s="2" t="n">
        <v>2026</v>
      </c>
      <c r="F5" s="2" t="s">
        <v>443</v>
      </c>
      <c r="G5" s="2" t="s">
        <v>426</v>
      </c>
      <c r="H5" s="2" t="s">
        <v>444</v>
      </c>
      <c r="I5" s="2" t="s">
        <v>226</v>
      </c>
      <c r="J5" s="2" t="s">
        <v>445</v>
      </c>
      <c r="K5" s="2" t="s">
        <v>428</v>
      </c>
    </row>
    <row r="6" customFormat="false" ht="23.85" hidden="false" customHeight="false" outlineLevel="0" collapsed="false">
      <c r="A6" s="2" t="s">
        <v>446</v>
      </c>
      <c r="B6" s="2" t="s">
        <v>422</v>
      </c>
      <c r="C6" s="2" t="s">
        <v>447</v>
      </c>
      <c r="D6" s="2" t="s">
        <v>424</v>
      </c>
      <c r="E6" s="2" t="n">
        <v>2024</v>
      </c>
      <c r="F6" s="2" t="s">
        <v>448</v>
      </c>
      <c r="G6" s="2" t="s">
        <v>426</v>
      </c>
      <c r="H6" s="2" t="s">
        <v>427</v>
      </c>
      <c r="I6" s="2" t="s">
        <v>226</v>
      </c>
      <c r="J6" s="2"/>
      <c r="K6" s="2" t="s">
        <v>428</v>
      </c>
    </row>
    <row r="7" customFormat="false" ht="23.85" hidden="false" customHeight="false" outlineLevel="0" collapsed="false">
      <c r="A7" s="2" t="s">
        <v>449</v>
      </c>
      <c r="B7" s="2" t="s">
        <v>422</v>
      </c>
      <c r="C7" s="2" t="s">
        <v>450</v>
      </c>
      <c r="D7" s="2" t="s">
        <v>451</v>
      </c>
      <c r="E7" s="2" t="n">
        <v>2025</v>
      </c>
      <c r="F7" s="2" t="s">
        <v>452</v>
      </c>
      <c r="G7" s="2" t="s">
        <v>426</v>
      </c>
      <c r="H7" s="2" t="s">
        <v>453</v>
      </c>
      <c r="I7" s="2" t="s">
        <v>226</v>
      </c>
      <c r="J7" s="2"/>
      <c r="K7" s="2" t="s">
        <v>434</v>
      </c>
    </row>
    <row r="8" customFormat="false" ht="23.85" hidden="false" customHeight="false" outlineLevel="0" collapsed="false">
      <c r="A8" s="2" t="s">
        <v>454</v>
      </c>
      <c r="B8" s="2" t="s">
        <v>422</v>
      </c>
      <c r="C8" s="2" t="s">
        <v>455</v>
      </c>
      <c r="D8" s="2" t="s">
        <v>456</v>
      </c>
      <c r="E8" s="2" t="n">
        <v>2026</v>
      </c>
      <c r="F8" s="2" t="s">
        <v>457</v>
      </c>
      <c r="G8" s="2" t="s">
        <v>374</v>
      </c>
      <c r="H8" s="2" t="s">
        <v>458</v>
      </c>
      <c r="I8" s="2" t="s">
        <v>226</v>
      </c>
      <c r="J8" s="2"/>
      <c r="K8" s="2" t="s">
        <v>374</v>
      </c>
    </row>
    <row r="9" customFormat="false" ht="23.85" hidden="false" customHeight="false" outlineLevel="0" collapsed="false">
      <c r="A9" s="2" t="s">
        <v>459</v>
      </c>
      <c r="B9" s="2" t="s">
        <v>422</v>
      </c>
      <c r="C9" s="2" t="s">
        <v>320</v>
      </c>
      <c r="D9" s="2" t="s">
        <v>460</v>
      </c>
      <c r="E9" s="2" t="n">
        <v>2026</v>
      </c>
      <c r="F9" s="2" t="s">
        <v>461</v>
      </c>
      <c r="G9" s="2" t="s">
        <v>426</v>
      </c>
      <c r="H9" s="2" t="s">
        <v>427</v>
      </c>
      <c r="I9" s="2" t="s">
        <v>226</v>
      </c>
      <c r="J9" s="2"/>
      <c r="K9" s="2" t="s">
        <v>428</v>
      </c>
    </row>
    <row r="10" customFormat="false" ht="23.85" hidden="false" customHeight="false" outlineLevel="0" collapsed="false">
      <c r="A10" s="2" t="s">
        <v>462</v>
      </c>
      <c r="B10" s="2" t="s">
        <v>422</v>
      </c>
      <c r="C10" s="2" t="s">
        <v>270</v>
      </c>
      <c r="D10" s="2" t="s">
        <v>463</v>
      </c>
      <c r="E10" s="2" t="n">
        <v>2024</v>
      </c>
      <c r="F10" s="2" t="s">
        <v>464</v>
      </c>
      <c r="G10" s="2" t="s">
        <v>426</v>
      </c>
      <c r="H10" s="2" t="s">
        <v>465</v>
      </c>
      <c r="I10" s="2" t="s">
        <v>226</v>
      </c>
      <c r="J10" s="2"/>
      <c r="K10" s="2" t="s">
        <v>428</v>
      </c>
    </row>
    <row r="11" customFormat="false" ht="23.85" hidden="false" customHeight="false" outlineLevel="0" collapsed="false">
      <c r="A11" s="2" t="s">
        <v>466</v>
      </c>
      <c r="B11" s="2" t="s">
        <v>422</v>
      </c>
      <c r="C11" s="2" t="s">
        <v>467</v>
      </c>
      <c r="D11" s="2" t="s">
        <v>468</v>
      </c>
      <c r="E11" s="2" t="n">
        <v>2023</v>
      </c>
      <c r="F11" s="2" t="s">
        <v>469</v>
      </c>
      <c r="G11" s="2" t="s">
        <v>426</v>
      </c>
      <c r="H11" s="2" t="s">
        <v>470</v>
      </c>
      <c r="I11" s="2" t="s">
        <v>240</v>
      </c>
      <c r="J11" s="2"/>
      <c r="K11" s="2" t="s">
        <v>434</v>
      </c>
    </row>
    <row r="12" customFormat="false" ht="23.85" hidden="false" customHeight="false" outlineLevel="0" collapsed="false">
      <c r="A12" s="2" t="s">
        <v>471</v>
      </c>
      <c r="B12" s="2" t="s">
        <v>422</v>
      </c>
      <c r="C12" s="2" t="s">
        <v>472</v>
      </c>
      <c r="D12" s="2" t="s">
        <v>473</v>
      </c>
      <c r="E12" s="2" t="n">
        <v>2026</v>
      </c>
      <c r="F12" s="2" t="s">
        <v>474</v>
      </c>
      <c r="G12" s="2" t="s">
        <v>374</v>
      </c>
      <c r="H12" s="2" t="s">
        <v>475</v>
      </c>
      <c r="I12" s="2" t="s">
        <v>476</v>
      </c>
      <c r="J12" s="2"/>
      <c r="K12" s="2" t="s">
        <v>374</v>
      </c>
    </row>
    <row r="13" customFormat="false" ht="23.85" hidden="false" customHeight="false" outlineLevel="0" collapsed="false">
      <c r="A13" s="2" t="s">
        <v>477</v>
      </c>
      <c r="B13" s="2" t="s">
        <v>422</v>
      </c>
      <c r="C13" s="2" t="s">
        <v>478</v>
      </c>
      <c r="D13" s="2" t="s">
        <v>479</v>
      </c>
      <c r="E13" s="2" t="n">
        <v>2023</v>
      </c>
      <c r="F13" s="2" t="s">
        <v>480</v>
      </c>
      <c r="G13" s="2" t="s">
        <v>374</v>
      </c>
      <c r="H13" s="2" t="s">
        <v>481</v>
      </c>
      <c r="I13" s="2" t="s">
        <v>482</v>
      </c>
      <c r="J13" s="2"/>
      <c r="K13" s="2" t="s">
        <v>374</v>
      </c>
    </row>
    <row r="14" customFormat="false" ht="23.85" hidden="false" customHeight="false" outlineLevel="0" collapsed="false">
      <c r="A14" s="2" t="s">
        <v>483</v>
      </c>
      <c r="B14" s="2" t="s">
        <v>422</v>
      </c>
      <c r="C14" s="2" t="s">
        <v>484</v>
      </c>
      <c r="D14" s="2" t="s">
        <v>485</v>
      </c>
      <c r="E14" s="2" t="n">
        <v>2024</v>
      </c>
      <c r="F14" s="2" t="s">
        <v>486</v>
      </c>
      <c r="G14" s="2" t="s">
        <v>374</v>
      </c>
      <c r="H14" s="2" t="s">
        <v>487</v>
      </c>
      <c r="I14" s="2" t="s">
        <v>226</v>
      </c>
      <c r="J14" s="2"/>
      <c r="K14" s="2" t="s">
        <v>374</v>
      </c>
    </row>
    <row r="15" customFormat="false" ht="23.85" hidden="false" customHeight="false" outlineLevel="0" collapsed="false">
      <c r="A15" s="2" t="s">
        <v>488</v>
      </c>
      <c r="B15" s="2" t="s">
        <v>422</v>
      </c>
      <c r="C15" s="2" t="s">
        <v>489</v>
      </c>
      <c r="D15" s="2" t="s">
        <v>490</v>
      </c>
      <c r="E15" s="2" t="n">
        <v>2026</v>
      </c>
      <c r="F15" s="2" t="s">
        <v>491</v>
      </c>
      <c r="G15" s="2" t="s">
        <v>426</v>
      </c>
      <c r="H15" s="2" t="s">
        <v>492</v>
      </c>
      <c r="I15" s="2" t="s">
        <v>226</v>
      </c>
      <c r="J15" s="2"/>
      <c r="K15" s="2" t="s">
        <v>428</v>
      </c>
    </row>
    <row r="16" customFormat="false" ht="35.05" hidden="false" customHeight="false" outlineLevel="0" collapsed="false">
      <c r="A16" s="2" t="s">
        <v>493</v>
      </c>
      <c r="B16" s="2" t="s">
        <v>422</v>
      </c>
      <c r="C16" s="2" t="s">
        <v>494</v>
      </c>
      <c r="D16" s="2" t="s">
        <v>495</v>
      </c>
      <c r="E16" s="2" t="n">
        <v>2025</v>
      </c>
      <c r="F16" s="2" t="s">
        <v>496</v>
      </c>
      <c r="G16" s="2" t="s">
        <v>426</v>
      </c>
      <c r="H16" s="2" t="s">
        <v>497</v>
      </c>
      <c r="I16" s="2" t="s">
        <v>240</v>
      </c>
      <c r="J16" s="2"/>
      <c r="K16" s="2" t="s">
        <v>434</v>
      </c>
    </row>
    <row r="17" customFormat="false" ht="23.85" hidden="false" customHeight="false" outlineLevel="0" collapsed="false">
      <c r="A17" s="2" t="s">
        <v>498</v>
      </c>
      <c r="B17" s="2" t="s">
        <v>422</v>
      </c>
      <c r="C17" s="2" t="s">
        <v>263</v>
      </c>
      <c r="D17" s="2" t="s">
        <v>499</v>
      </c>
      <c r="E17" s="2" t="n">
        <v>2025</v>
      </c>
      <c r="F17" s="2" t="s">
        <v>500</v>
      </c>
      <c r="G17" s="2" t="s">
        <v>426</v>
      </c>
      <c r="H17" s="2" t="s">
        <v>501</v>
      </c>
      <c r="I17" s="2" t="s">
        <v>226</v>
      </c>
      <c r="J17" s="2"/>
      <c r="K17" s="2" t="s">
        <v>428</v>
      </c>
    </row>
    <row r="18" customFormat="false" ht="23.85" hidden="false" customHeight="false" outlineLevel="0" collapsed="false">
      <c r="A18" s="2" t="s">
        <v>502</v>
      </c>
      <c r="B18" s="2" t="s">
        <v>422</v>
      </c>
      <c r="C18" s="2" t="s">
        <v>276</v>
      </c>
      <c r="D18" s="2" t="s">
        <v>503</v>
      </c>
      <c r="E18" s="2" t="n">
        <v>2024</v>
      </c>
      <c r="F18" s="2" t="s">
        <v>504</v>
      </c>
      <c r="G18" s="2" t="s">
        <v>426</v>
      </c>
      <c r="H18" s="2" t="s">
        <v>453</v>
      </c>
      <c r="I18" s="2" t="s">
        <v>226</v>
      </c>
      <c r="J18" s="2"/>
      <c r="K18" s="2" t="s">
        <v>434</v>
      </c>
    </row>
    <row r="19" customFormat="false" ht="35.05" hidden="false" customHeight="false" outlineLevel="0" collapsed="false">
      <c r="A19" s="2" t="s">
        <v>505</v>
      </c>
      <c r="B19" s="2" t="s">
        <v>422</v>
      </c>
      <c r="C19" s="2" t="s">
        <v>506</v>
      </c>
      <c r="D19" s="2" t="s">
        <v>507</v>
      </c>
      <c r="E19" s="2" t="n">
        <v>2026</v>
      </c>
      <c r="F19" s="2" t="s">
        <v>508</v>
      </c>
      <c r="G19" s="2" t="s">
        <v>426</v>
      </c>
      <c r="H19" s="2" t="s">
        <v>509</v>
      </c>
      <c r="I19" s="2" t="s">
        <v>240</v>
      </c>
      <c r="J19" s="2"/>
      <c r="K19" s="2" t="s">
        <v>434</v>
      </c>
    </row>
    <row r="20" customFormat="false" ht="23.85" hidden="false" customHeight="false" outlineLevel="0" collapsed="false">
      <c r="A20" s="2" t="s">
        <v>510</v>
      </c>
      <c r="B20" s="2" t="s">
        <v>422</v>
      </c>
      <c r="C20" s="2" t="s">
        <v>511</v>
      </c>
      <c r="D20" s="2" t="s">
        <v>512</v>
      </c>
      <c r="E20" s="2" t="n">
        <v>2026</v>
      </c>
      <c r="F20" s="2" t="s">
        <v>513</v>
      </c>
      <c r="G20" s="2" t="s">
        <v>426</v>
      </c>
      <c r="H20" s="2" t="s">
        <v>514</v>
      </c>
      <c r="I20" s="2" t="s">
        <v>476</v>
      </c>
      <c r="J20" s="2" t="s">
        <v>445</v>
      </c>
      <c r="K20" s="2" t="s">
        <v>434</v>
      </c>
    </row>
    <row r="21" customFormat="false" ht="23.85" hidden="false" customHeight="false" outlineLevel="0" collapsed="false">
      <c r="A21" s="2" t="s">
        <v>515</v>
      </c>
      <c r="B21" s="2" t="s">
        <v>422</v>
      </c>
      <c r="C21" s="2" t="s">
        <v>222</v>
      </c>
      <c r="D21" s="2" t="s">
        <v>516</v>
      </c>
      <c r="E21" s="2" t="n">
        <v>2026</v>
      </c>
      <c r="F21" s="2" t="s">
        <v>517</v>
      </c>
      <c r="G21" s="2" t="s">
        <v>426</v>
      </c>
      <c r="H21" s="2" t="s">
        <v>518</v>
      </c>
      <c r="I21" s="2" t="s">
        <v>226</v>
      </c>
      <c r="J21" s="2"/>
      <c r="K21" s="2" t="s">
        <v>428</v>
      </c>
    </row>
    <row r="22" customFormat="false" ht="23.85" hidden="false" customHeight="false" outlineLevel="0" collapsed="false">
      <c r="A22" s="2" t="s">
        <v>519</v>
      </c>
      <c r="B22" s="2" t="s">
        <v>422</v>
      </c>
      <c r="C22" s="2" t="s">
        <v>520</v>
      </c>
      <c r="D22" s="2" t="s">
        <v>521</v>
      </c>
      <c r="E22" s="2" t="n">
        <v>2025</v>
      </c>
      <c r="F22" s="2" t="s">
        <v>522</v>
      </c>
      <c r="G22" s="2" t="s">
        <v>426</v>
      </c>
      <c r="H22" s="2" t="s">
        <v>523</v>
      </c>
      <c r="I22" s="2" t="s">
        <v>226</v>
      </c>
      <c r="J22" s="2"/>
      <c r="K22" s="2" t="s">
        <v>428</v>
      </c>
    </row>
    <row r="23" customFormat="false" ht="23.85" hidden="false" customHeight="false" outlineLevel="0" collapsed="false">
      <c r="A23" s="2" t="s">
        <v>524</v>
      </c>
      <c r="B23" s="2" t="s">
        <v>422</v>
      </c>
      <c r="C23" s="2" t="s">
        <v>280</v>
      </c>
      <c r="D23" s="2" t="s">
        <v>525</v>
      </c>
      <c r="E23" s="2" t="n">
        <v>2025</v>
      </c>
      <c r="F23" s="2" t="s">
        <v>526</v>
      </c>
      <c r="G23" s="2" t="s">
        <v>426</v>
      </c>
      <c r="H23" s="2" t="s">
        <v>527</v>
      </c>
      <c r="I23" s="2" t="s">
        <v>226</v>
      </c>
      <c r="J23" s="2"/>
      <c r="K23" s="2" t="s">
        <v>428</v>
      </c>
    </row>
    <row r="24" customFormat="false" ht="23.85" hidden="false" customHeight="false" outlineLevel="0" collapsed="false">
      <c r="A24" s="2" t="s">
        <v>528</v>
      </c>
      <c r="B24" s="2" t="s">
        <v>422</v>
      </c>
      <c r="C24" s="2" t="s">
        <v>529</v>
      </c>
      <c r="D24" s="2" t="s">
        <v>451</v>
      </c>
      <c r="E24" s="2" t="n">
        <v>2025</v>
      </c>
      <c r="F24" s="2" t="s">
        <v>530</v>
      </c>
      <c r="G24" s="2" t="s">
        <v>531</v>
      </c>
      <c r="H24" s="2" t="s">
        <v>532</v>
      </c>
      <c r="I24" s="2" t="s">
        <v>482</v>
      </c>
      <c r="J24" s="2" t="s">
        <v>533</v>
      </c>
      <c r="K24" s="2" t="s">
        <v>531</v>
      </c>
    </row>
    <row r="25" customFormat="false" ht="23.85" hidden="false" customHeight="false" outlineLevel="0" collapsed="false">
      <c r="A25" s="2" t="s">
        <v>534</v>
      </c>
      <c r="B25" s="2" t="s">
        <v>422</v>
      </c>
      <c r="C25" s="2" t="s">
        <v>535</v>
      </c>
      <c r="D25" s="2" t="s">
        <v>536</v>
      </c>
      <c r="E25" s="2" t="n">
        <v>2025</v>
      </c>
      <c r="F25" s="2" t="s">
        <v>537</v>
      </c>
      <c r="G25" s="2" t="s">
        <v>426</v>
      </c>
      <c r="H25" s="2" t="s">
        <v>538</v>
      </c>
      <c r="I25" s="2" t="s">
        <v>226</v>
      </c>
      <c r="J25" s="2"/>
      <c r="K25" s="2" t="s">
        <v>428</v>
      </c>
    </row>
    <row r="26" customFormat="false" ht="23.85" hidden="false" customHeight="false" outlineLevel="0" collapsed="false">
      <c r="A26" s="2" t="s">
        <v>539</v>
      </c>
      <c r="B26" s="2" t="s">
        <v>422</v>
      </c>
      <c r="C26" s="2" t="s">
        <v>540</v>
      </c>
      <c r="D26" s="2" t="s">
        <v>541</v>
      </c>
      <c r="E26" s="2" t="n">
        <v>2026</v>
      </c>
      <c r="F26" s="2" t="s">
        <v>542</v>
      </c>
      <c r="G26" s="2" t="s">
        <v>426</v>
      </c>
      <c r="H26" s="2" t="s">
        <v>543</v>
      </c>
      <c r="I26" s="2" t="s">
        <v>226</v>
      </c>
      <c r="J26" s="2"/>
      <c r="K26" s="2" t="s">
        <v>428</v>
      </c>
    </row>
    <row r="27" customFormat="false" ht="23.85" hidden="false" customHeight="false" outlineLevel="0" collapsed="false">
      <c r="A27" s="2" t="s">
        <v>544</v>
      </c>
      <c r="B27" s="2" t="s">
        <v>422</v>
      </c>
      <c r="C27" s="2" t="s">
        <v>545</v>
      </c>
      <c r="D27" s="2" t="s">
        <v>546</v>
      </c>
      <c r="E27" s="2" t="n">
        <v>2026</v>
      </c>
      <c r="F27" s="2" t="s">
        <v>547</v>
      </c>
      <c r="G27" s="2" t="s">
        <v>426</v>
      </c>
      <c r="H27" s="2" t="s">
        <v>548</v>
      </c>
      <c r="I27" s="2" t="s">
        <v>226</v>
      </c>
      <c r="J27" s="2" t="s">
        <v>445</v>
      </c>
      <c r="K27" s="2" t="s">
        <v>428</v>
      </c>
    </row>
    <row r="28" customFormat="false" ht="23.85" hidden="false" customHeight="false" outlineLevel="0" collapsed="false">
      <c r="A28" s="2" t="s">
        <v>549</v>
      </c>
      <c r="B28" s="2" t="s">
        <v>422</v>
      </c>
      <c r="C28" s="2" t="s">
        <v>326</v>
      </c>
      <c r="D28" s="2" t="s">
        <v>550</v>
      </c>
      <c r="E28" s="2" t="n">
        <v>2025</v>
      </c>
      <c r="F28" s="2" t="s">
        <v>551</v>
      </c>
      <c r="G28" s="2" t="s">
        <v>426</v>
      </c>
      <c r="H28" s="2" t="s">
        <v>552</v>
      </c>
      <c r="I28" s="2" t="s">
        <v>226</v>
      </c>
      <c r="J28" s="2"/>
      <c r="K28" s="2" t="s">
        <v>428</v>
      </c>
    </row>
    <row r="29" customFormat="false" ht="23.85" hidden="false" customHeight="false" outlineLevel="0" collapsed="false">
      <c r="A29" s="2" t="s">
        <v>553</v>
      </c>
      <c r="B29" s="2" t="s">
        <v>422</v>
      </c>
      <c r="C29" s="2" t="s">
        <v>554</v>
      </c>
      <c r="D29" s="2" t="s">
        <v>555</v>
      </c>
      <c r="E29" s="2" t="n">
        <v>2025</v>
      </c>
      <c r="F29" s="2" t="s">
        <v>556</v>
      </c>
      <c r="G29" s="2" t="s">
        <v>426</v>
      </c>
      <c r="H29" s="2" t="s">
        <v>538</v>
      </c>
      <c r="I29" s="2" t="s">
        <v>226</v>
      </c>
      <c r="J29" s="2"/>
      <c r="K29" s="2" t="s">
        <v>428</v>
      </c>
    </row>
    <row r="30" customFormat="false" ht="23.85" hidden="false" customHeight="false" outlineLevel="0" collapsed="false">
      <c r="A30" s="2" t="s">
        <v>557</v>
      </c>
      <c r="B30" s="2" t="s">
        <v>422</v>
      </c>
      <c r="C30" s="2" t="s">
        <v>558</v>
      </c>
      <c r="D30" s="2" t="s">
        <v>451</v>
      </c>
      <c r="E30" s="2" t="n">
        <v>2025</v>
      </c>
      <c r="F30" s="2" t="s">
        <v>559</v>
      </c>
      <c r="G30" s="2" t="s">
        <v>426</v>
      </c>
      <c r="H30" s="2" t="s">
        <v>560</v>
      </c>
      <c r="I30" s="2" t="s">
        <v>240</v>
      </c>
      <c r="J30" s="2"/>
      <c r="K30" s="2" t="s">
        <v>434</v>
      </c>
    </row>
    <row r="31" customFormat="false" ht="23.85" hidden="false" customHeight="false" outlineLevel="0" collapsed="false">
      <c r="A31" s="2" t="s">
        <v>561</v>
      </c>
      <c r="B31" s="2" t="s">
        <v>422</v>
      </c>
      <c r="C31" s="2" t="s">
        <v>562</v>
      </c>
      <c r="D31" s="2" t="s">
        <v>507</v>
      </c>
      <c r="E31" s="2" t="n">
        <v>2026</v>
      </c>
      <c r="F31" s="2" t="s">
        <v>563</v>
      </c>
      <c r="G31" s="2" t="s">
        <v>426</v>
      </c>
      <c r="H31" s="2" t="s">
        <v>564</v>
      </c>
      <c r="I31" s="2" t="s">
        <v>240</v>
      </c>
      <c r="J31" s="2"/>
      <c r="K31" s="2" t="s">
        <v>434</v>
      </c>
    </row>
    <row r="32" customFormat="false" ht="23.85" hidden="false" customHeight="false" outlineLevel="0" collapsed="false">
      <c r="A32" s="2" t="s">
        <v>565</v>
      </c>
      <c r="B32" s="2" t="s">
        <v>422</v>
      </c>
      <c r="C32" s="2" t="s">
        <v>566</v>
      </c>
      <c r="D32" s="2" t="s">
        <v>567</v>
      </c>
      <c r="E32" s="2" t="n">
        <v>2023</v>
      </c>
      <c r="F32" s="2" t="s">
        <v>568</v>
      </c>
      <c r="G32" s="2" t="s">
        <v>426</v>
      </c>
      <c r="H32" s="2" t="s">
        <v>453</v>
      </c>
      <c r="I32" s="2" t="s">
        <v>226</v>
      </c>
      <c r="J32" s="2"/>
      <c r="K32" s="2" t="s">
        <v>434</v>
      </c>
    </row>
    <row r="33" customFormat="false" ht="23.85" hidden="false" customHeight="false" outlineLevel="0" collapsed="false">
      <c r="A33" s="2" t="s">
        <v>569</v>
      </c>
      <c r="B33" s="2" t="s">
        <v>422</v>
      </c>
      <c r="C33" s="2" t="s">
        <v>287</v>
      </c>
      <c r="D33" s="2" t="s">
        <v>570</v>
      </c>
      <c r="E33" s="2" t="n">
        <v>2024</v>
      </c>
      <c r="F33" s="2" t="s">
        <v>571</v>
      </c>
      <c r="G33" s="2" t="s">
        <v>426</v>
      </c>
      <c r="H33" s="2" t="s">
        <v>572</v>
      </c>
      <c r="I33" s="2" t="s">
        <v>235</v>
      </c>
      <c r="J33" s="2"/>
      <c r="K33" s="2" t="s">
        <v>434</v>
      </c>
    </row>
    <row r="34" customFormat="false" ht="23.85" hidden="false" customHeight="false" outlineLevel="0" collapsed="false">
      <c r="A34" s="2" t="s">
        <v>573</v>
      </c>
      <c r="B34" s="2" t="s">
        <v>422</v>
      </c>
      <c r="C34" s="2" t="s">
        <v>574</v>
      </c>
      <c r="D34" s="2" t="s">
        <v>575</v>
      </c>
      <c r="E34" s="2" t="n">
        <v>2025</v>
      </c>
      <c r="F34" s="2" t="s">
        <v>576</v>
      </c>
      <c r="G34" s="2" t="s">
        <v>426</v>
      </c>
      <c r="H34" s="2" t="s">
        <v>577</v>
      </c>
      <c r="I34" s="2" t="s">
        <v>226</v>
      </c>
      <c r="J34" s="2"/>
      <c r="K34" s="2" t="s">
        <v>428</v>
      </c>
    </row>
    <row r="35" customFormat="false" ht="23.85" hidden="false" customHeight="false" outlineLevel="0" collapsed="false">
      <c r="A35" s="2" t="s">
        <v>578</v>
      </c>
      <c r="B35" s="2" t="s">
        <v>422</v>
      </c>
      <c r="C35" s="2" t="s">
        <v>579</v>
      </c>
      <c r="D35" s="2" t="s">
        <v>580</v>
      </c>
      <c r="E35" s="2" t="n">
        <v>2025</v>
      </c>
      <c r="F35" s="2" t="s">
        <v>581</v>
      </c>
      <c r="G35" s="2" t="s">
        <v>426</v>
      </c>
      <c r="H35" s="2" t="s">
        <v>582</v>
      </c>
      <c r="I35" s="2" t="s">
        <v>226</v>
      </c>
      <c r="J35" s="2"/>
      <c r="K35" s="2" t="s">
        <v>428</v>
      </c>
    </row>
    <row r="36" customFormat="false" ht="23.85" hidden="false" customHeight="false" outlineLevel="0" collapsed="false">
      <c r="A36" s="2" t="s">
        <v>583</v>
      </c>
      <c r="B36" s="2" t="s">
        <v>422</v>
      </c>
      <c r="C36" s="2" t="s">
        <v>299</v>
      </c>
      <c r="D36" s="2" t="s">
        <v>584</v>
      </c>
      <c r="E36" s="2" t="n">
        <v>2025</v>
      </c>
      <c r="F36" s="2" t="s">
        <v>585</v>
      </c>
      <c r="G36" s="2" t="s">
        <v>426</v>
      </c>
      <c r="H36" s="2" t="s">
        <v>586</v>
      </c>
      <c r="I36" s="2" t="s">
        <v>226</v>
      </c>
      <c r="J36" s="2"/>
      <c r="K36" s="2" t="s">
        <v>428</v>
      </c>
    </row>
    <row r="37" customFormat="false" ht="15" hidden="false" customHeight="false" outlineLevel="0" collapsed="false">
      <c r="A37" s="2" t="s">
        <v>587</v>
      </c>
      <c r="B37" s="2" t="s">
        <v>422</v>
      </c>
      <c r="C37" s="2" t="s">
        <v>588</v>
      </c>
      <c r="D37" s="2" t="s">
        <v>589</v>
      </c>
      <c r="E37" s="2" t="n">
        <v>2026</v>
      </c>
      <c r="F37" s="2" t="s">
        <v>590</v>
      </c>
      <c r="G37" s="2" t="s">
        <v>426</v>
      </c>
      <c r="H37" s="2" t="s">
        <v>591</v>
      </c>
      <c r="I37" s="2" t="s">
        <v>592</v>
      </c>
      <c r="J37" s="2" t="s">
        <v>593</v>
      </c>
      <c r="K37" s="2" t="s">
        <v>434</v>
      </c>
    </row>
    <row r="38" customFormat="false" ht="23.85" hidden="false" customHeight="false" outlineLevel="0" collapsed="false">
      <c r="A38" s="2" t="s">
        <v>594</v>
      </c>
      <c r="B38" s="2" t="s">
        <v>422</v>
      </c>
      <c r="C38" s="2" t="s">
        <v>595</v>
      </c>
      <c r="D38" s="2" t="s">
        <v>596</v>
      </c>
      <c r="E38" s="2" t="n">
        <v>2026</v>
      </c>
      <c r="F38" s="2" t="s">
        <v>597</v>
      </c>
      <c r="G38" s="2" t="s">
        <v>426</v>
      </c>
      <c r="H38" s="2" t="s">
        <v>598</v>
      </c>
      <c r="I38" s="2" t="s">
        <v>226</v>
      </c>
      <c r="J38" s="2"/>
      <c r="K38" s="2" t="s">
        <v>434</v>
      </c>
    </row>
    <row r="39" customFormat="false" ht="23.85" hidden="false" customHeight="false" outlineLevel="0" collapsed="false">
      <c r="A39" s="2" t="s">
        <v>599</v>
      </c>
      <c r="B39" s="2" t="s">
        <v>422</v>
      </c>
      <c r="C39" s="2" t="s">
        <v>600</v>
      </c>
      <c r="D39" s="2" t="s">
        <v>596</v>
      </c>
      <c r="E39" s="2" t="n">
        <v>2026</v>
      </c>
      <c r="F39" s="2" t="s">
        <v>601</v>
      </c>
      <c r="G39" s="2" t="s">
        <v>426</v>
      </c>
      <c r="H39" s="2" t="s">
        <v>538</v>
      </c>
      <c r="I39" s="2" t="s">
        <v>226</v>
      </c>
      <c r="J39" s="2"/>
      <c r="K39" s="2" t="s">
        <v>428</v>
      </c>
    </row>
    <row r="40" customFormat="false" ht="23.85" hidden="false" customHeight="false" outlineLevel="0" collapsed="false">
      <c r="A40" s="2" t="s">
        <v>602</v>
      </c>
      <c r="B40" s="2" t="s">
        <v>422</v>
      </c>
      <c r="C40" s="2" t="s">
        <v>603</v>
      </c>
      <c r="D40" s="2" t="s">
        <v>604</v>
      </c>
      <c r="E40" s="2" t="n">
        <v>2025</v>
      </c>
      <c r="F40" s="2" t="s">
        <v>605</v>
      </c>
      <c r="G40" s="2" t="s">
        <v>426</v>
      </c>
      <c r="H40" s="2" t="s">
        <v>606</v>
      </c>
      <c r="I40" s="2" t="s">
        <v>226</v>
      </c>
      <c r="J40" s="2"/>
      <c r="K40" s="2" t="s">
        <v>428</v>
      </c>
    </row>
    <row r="41" customFormat="false" ht="23.85" hidden="false" customHeight="false" outlineLevel="0" collapsed="false">
      <c r="A41" s="2" t="s">
        <v>607</v>
      </c>
      <c r="B41" s="2" t="s">
        <v>422</v>
      </c>
      <c r="C41" s="2" t="s">
        <v>608</v>
      </c>
      <c r="D41" s="2" t="s">
        <v>609</v>
      </c>
      <c r="E41" s="2" t="n">
        <v>2025</v>
      </c>
      <c r="F41" s="2" t="s">
        <v>610</v>
      </c>
      <c r="G41" s="2" t="s">
        <v>426</v>
      </c>
      <c r="H41" s="2" t="s">
        <v>611</v>
      </c>
      <c r="I41" s="2" t="s">
        <v>226</v>
      </c>
      <c r="J41" s="2"/>
      <c r="K41" s="2" t="s">
        <v>428</v>
      </c>
    </row>
    <row r="42" customFormat="false" ht="23.85" hidden="false" customHeight="false" outlineLevel="0" collapsed="false">
      <c r="A42" s="2" t="s">
        <v>612</v>
      </c>
      <c r="B42" s="2" t="s">
        <v>422</v>
      </c>
      <c r="C42" s="2" t="s">
        <v>613</v>
      </c>
      <c r="D42" s="2" t="s">
        <v>463</v>
      </c>
      <c r="E42" s="2" t="n">
        <v>2026</v>
      </c>
      <c r="F42" s="2" t="s">
        <v>614</v>
      </c>
      <c r="G42" s="2" t="s">
        <v>426</v>
      </c>
      <c r="H42" s="2" t="s">
        <v>615</v>
      </c>
      <c r="I42" s="2" t="s">
        <v>616</v>
      </c>
      <c r="J42" s="2"/>
      <c r="K42" s="2" t="s">
        <v>434</v>
      </c>
    </row>
    <row r="43" customFormat="false" ht="23.85" hidden="false" customHeight="false" outlineLevel="0" collapsed="false">
      <c r="A43" s="2" t="s">
        <v>617</v>
      </c>
      <c r="B43" s="2" t="s">
        <v>422</v>
      </c>
      <c r="C43" s="2" t="s">
        <v>377</v>
      </c>
      <c r="D43" s="2" t="s">
        <v>618</v>
      </c>
      <c r="E43" s="2" t="n">
        <v>2024</v>
      </c>
      <c r="F43" s="2" t="s">
        <v>619</v>
      </c>
      <c r="G43" s="2" t="s">
        <v>374</v>
      </c>
      <c r="H43" s="2" t="s">
        <v>475</v>
      </c>
      <c r="I43" s="2" t="s">
        <v>226</v>
      </c>
      <c r="J43" s="2" t="s">
        <v>620</v>
      </c>
      <c r="K43" s="2" t="s">
        <v>374</v>
      </c>
    </row>
    <row r="44" customFormat="false" ht="15" hidden="false" customHeight="false" outlineLevel="0" collapsed="false">
      <c r="A44" s="2" t="s">
        <v>621</v>
      </c>
      <c r="B44" s="2" t="s">
        <v>422</v>
      </c>
      <c r="C44" s="2" t="s">
        <v>290</v>
      </c>
      <c r="D44" s="2" t="s">
        <v>622</v>
      </c>
      <c r="E44" s="2" t="n">
        <v>2024</v>
      </c>
      <c r="F44" s="2" t="s">
        <v>623</v>
      </c>
      <c r="G44" s="2" t="s">
        <v>426</v>
      </c>
      <c r="H44" s="2" t="s">
        <v>624</v>
      </c>
      <c r="I44" s="2" t="s">
        <v>226</v>
      </c>
      <c r="J44" s="2" t="s">
        <v>625</v>
      </c>
      <c r="K44" s="2" t="s">
        <v>434</v>
      </c>
    </row>
    <row r="45" customFormat="false" ht="23.85" hidden="false" customHeight="false" outlineLevel="0" collapsed="false">
      <c r="A45" s="2" t="s">
        <v>626</v>
      </c>
      <c r="B45" s="2" t="s">
        <v>422</v>
      </c>
      <c r="C45" s="2" t="s">
        <v>245</v>
      </c>
      <c r="D45" s="2" t="s">
        <v>507</v>
      </c>
      <c r="E45" s="2" t="n">
        <v>2025</v>
      </c>
      <c r="F45" s="2" t="s">
        <v>627</v>
      </c>
      <c r="G45" s="2" t="s">
        <v>426</v>
      </c>
      <c r="H45" s="2" t="s">
        <v>538</v>
      </c>
      <c r="I45" s="2" t="s">
        <v>226</v>
      </c>
      <c r="J45" s="2"/>
      <c r="K45" s="2" t="s">
        <v>434</v>
      </c>
    </row>
    <row r="46" customFormat="false" ht="23.85" hidden="false" customHeight="false" outlineLevel="0" collapsed="false">
      <c r="A46" s="2" t="s">
        <v>628</v>
      </c>
      <c r="B46" s="2" t="s">
        <v>422</v>
      </c>
      <c r="C46" s="2" t="s">
        <v>629</v>
      </c>
      <c r="D46" s="2" t="s">
        <v>630</v>
      </c>
      <c r="E46" s="2" t="n">
        <v>2026</v>
      </c>
      <c r="F46" s="2" t="s">
        <v>631</v>
      </c>
      <c r="G46" s="2" t="s">
        <v>426</v>
      </c>
      <c r="H46" s="2" t="s">
        <v>632</v>
      </c>
      <c r="I46" s="2" t="s">
        <v>633</v>
      </c>
      <c r="J46" s="2"/>
      <c r="K46" s="2" t="s">
        <v>428</v>
      </c>
    </row>
    <row r="47" customFormat="false" ht="23.85" hidden="false" customHeight="false" outlineLevel="0" collapsed="false">
      <c r="A47" s="2" t="s">
        <v>634</v>
      </c>
      <c r="B47" s="2" t="s">
        <v>422</v>
      </c>
      <c r="C47" s="2" t="s">
        <v>228</v>
      </c>
      <c r="D47" s="2" t="s">
        <v>431</v>
      </c>
      <c r="E47" s="2" t="n">
        <v>2026</v>
      </c>
      <c r="F47" s="2" t="s">
        <v>635</v>
      </c>
      <c r="G47" s="2" t="s">
        <v>426</v>
      </c>
      <c r="H47" s="2" t="s">
        <v>636</v>
      </c>
      <c r="I47" s="2" t="s">
        <v>637</v>
      </c>
      <c r="J47" s="2" t="s">
        <v>638</v>
      </c>
      <c r="K47" s="2" t="s">
        <v>434</v>
      </c>
    </row>
    <row r="48" customFormat="false" ht="23.85" hidden="false" customHeight="false" outlineLevel="0" collapsed="false">
      <c r="A48" s="2" t="s">
        <v>639</v>
      </c>
      <c r="B48" s="2" t="s">
        <v>422</v>
      </c>
      <c r="C48" s="2" t="s">
        <v>372</v>
      </c>
      <c r="D48" s="2" t="s">
        <v>640</v>
      </c>
      <c r="E48" s="2" t="n">
        <v>2025</v>
      </c>
      <c r="F48" s="2" t="s">
        <v>641</v>
      </c>
      <c r="G48" s="2" t="s">
        <v>374</v>
      </c>
      <c r="H48" s="2" t="s">
        <v>642</v>
      </c>
      <c r="I48" s="2" t="s">
        <v>482</v>
      </c>
      <c r="J48" s="2" t="s">
        <v>643</v>
      </c>
      <c r="K48" s="2" t="s">
        <v>374</v>
      </c>
    </row>
    <row r="49" customFormat="false" ht="23.85" hidden="false" customHeight="false" outlineLevel="0" collapsed="false">
      <c r="A49" s="2" t="s">
        <v>644</v>
      </c>
      <c r="B49" s="2" t="s">
        <v>422</v>
      </c>
      <c r="C49" s="2" t="s">
        <v>252</v>
      </c>
      <c r="D49" s="2" t="s">
        <v>645</v>
      </c>
      <c r="E49" s="2" t="n">
        <v>2025</v>
      </c>
      <c r="F49" s="2" t="s">
        <v>646</v>
      </c>
      <c r="G49" s="2" t="s">
        <v>426</v>
      </c>
      <c r="H49" s="2" t="s">
        <v>647</v>
      </c>
      <c r="I49" s="2" t="s">
        <v>226</v>
      </c>
      <c r="J49" s="2"/>
      <c r="K49" s="2" t="s">
        <v>428</v>
      </c>
    </row>
    <row r="50" customFormat="false" ht="23.85" hidden="false" customHeight="false" outlineLevel="0" collapsed="false">
      <c r="A50" s="2" t="s">
        <v>648</v>
      </c>
      <c r="B50" s="2" t="s">
        <v>422</v>
      </c>
      <c r="C50" s="2" t="s">
        <v>649</v>
      </c>
      <c r="D50" s="2" t="s">
        <v>650</v>
      </c>
      <c r="E50" s="2" t="n">
        <v>2025</v>
      </c>
      <c r="F50" s="2" t="s">
        <v>651</v>
      </c>
      <c r="G50" s="2" t="s">
        <v>426</v>
      </c>
      <c r="H50" s="2" t="s">
        <v>652</v>
      </c>
      <c r="I50" s="2" t="s">
        <v>616</v>
      </c>
      <c r="J50" s="2"/>
      <c r="K50" s="2" t="s">
        <v>434</v>
      </c>
    </row>
    <row r="51" customFormat="false" ht="23.85" hidden="false" customHeight="false" outlineLevel="0" collapsed="false">
      <c r="A51" s="2" t="s">
        <v>653</v>
      </c>
      <c r="B51" s="2" t="s">
        <v>422</v>
      </c>
      <c r="C51" s="2" t="s">
        <v>295</v>
      </c>
      <c r="D51" s="2" t="s">
        <v>654</v>
      </c>
      <c r="E51" s="2" t="n">
        <v>2023</v>
      </c>
      <c r="F51" s="2" t="s">
        <v>655</v>
      </c>
      <c r="G51" s="2" t="s">
        <v>426</v>
      </c>
      <c r="H51" s="2" t="s">
        <v>656</v>
      </c>
      <c r="I51" s="2" t="s">
        <v>657</v>
      </c>
      <c r="J51" s="2"/>
      <c r="K51" s="2" t="s">
        <v>434</v>
      </c>
    </row>
    <row r="52" customFormat="false" ht="23.85" hidden="false" customHeight="false" outlineLevel="0" collapsed="false">
      <c r="A52" s="2" t="s">
        <v>658</v>
      </c>
      <c r="B52" s="2" t="s">
        <v>422</v>
      </c>
      <c r="C52" s="2" t="s">
        <v>259</v>
      </c>
      <c r="D52" s="2" t="s">
        <v>659</v>
      </c>
      <c r="E52" s="2" t="n">
        <v>2025</v>
      </c>
      <c r="F52" s="2" t="s">
        <v>660</v>
      </c>
      <c r="G52" s="2" t="s">
        <v>426</v>
      </c>
      <c r="H52" s="2" t="s">
        <v>661</v>
      </c>
      <c r="I52" s="2" t="s">
        <v>261</v>
      </c>
      <c r="J52" s="2"/>
      <c r="K52" s="2" t="s">
        <v>434</v>
      </c>
    </row>
    <row r="53" customFormat="false" ht="23.85" hidden="false" customHeight="false" outlineLevel="0" collapsed="false">
      <c r="A53" s="2" t="s">
        <v>662</v>
      </c>
      <c r="B53" s="2" t="s">
        <v>422</v>
      </c>
      <c r="C53" s="2" t="s">
        <v>663</v>
      </c>
      <c r="D53" s="2" t="s">
        <v>664</v>
      </c>
      <c r="E53" s="2" t="n">
        <v>2026</v>
      </c>
      <c r="F53" s="2" t="s">
        <v>665</v>
      </c>
      <c r="G53" s="2" t="s">
        <v>426</v>
      </c>
      <c r="H53" s="2" t="s">
        <v>538</v>
      </c>
      <c r="I53" s="2" t="s">
        <v>226</v>
      </c>
      <c r="J53" s="2"/>
      <c r="K53" s="2" t="s">
        <v>428</v>
      </c>
    </row>
    <row r="54" customFormat="false" ht="23.85" hidden="false" customHeight="false" outlineLevel="0" collapsed="false">
      <c r="A54" s="2" t="s">
        <v>666</v>
      </c>
      <c r="B54" s="2" t="s">
        <v>422</v>
      </c>
      <c r="C54" s="2" t="s">
        <v>248</v>
      </c>
      <c r="D54" s="2" t="s">
        <v>667</v>
      </c>
      <c r="E54" s="2" t="n">
        <v>2026</v>
      </c>
      <c r="F54" s="2" t="s">
        <v>668</v>
      </c>
      <c r="G54" s="2" t="s">
        <v>426</v>
      </c>
      <c r="H54" s="2" t="s">
        <v>669</v>
      </c>
      <c r="I54" s="2" t="s">
        <v>226</v>
      </c>
      <c r="J54" s="2"/>
      <c r="K54" s="2" t="s">
        <v>428</v>
      </c>
    </row>
    <row r="55" customFormat="false" ht="15" hidden="false" customHeight="false" outlineLevel="0" collapsed="false">
      <c r="A55" s="2" t="s">
        <v>670</v>
      </c>
      <c r="B55" s="2" t="s">
        <v>422</v>
      </c>
      <c r="C55" s="2" t="s">
        <v>671</v>
      </c>
      <c r="D55" s="2" t="s">
        <v>672</v>
      </c>
      <c r="E55" s="2" t="n">
        <v>2026</v>
      </c>
      <c r="F55" s="2" t="s">
        <v>673</v>
      </c>
      <c r="G55" s="2" t="s">
        <v>531</v>
      </c>
      <c r="H55" s="2" t="s">
        <v>674</v>
      </c>
      <c r="I55" s="2" t="s">
        <v>482</v>
      </c>
      <c r="J55" s="2"/>
      <c r="K55" s="2" t="s">
        <v>531</v>
      </c>
    </row>
    <row r="56" customFormat="false" ht="23.85" hidden="false" customHeight="false" outlineLevel="0" collapsed="false">
      <c r="A56" s="2" t="s">
        <v>675</v>
      </c>
      <c r="B56" s="2" t="s">
        <v>422</v>
      </c>
      <c r="C56" s="2" t="s">
        <v>676</v>
      </c>
      <c r="D56" s="2" t="s">
        <v>677</v>
      </c>
      <c r="E56" s="2" t="n">
        <v>2025</v>
      </c>
      <c r="F56" s="2" t="s">
        <v>678</v>
      </c>
      <c r="G56" s="2" t="s">
        <v>426</v>
      </c>
      <c r="H56" s="2" t="s">
        <v>679</v>
      </c>
      <c r="I56" s="2" t="s">
        <v>226</v>
      </c>
      <c r="J56" s="2"/>
      <c r="K56" s="2" t="s">
        <v>428</v>
      </c>
    </row>
    <row r="57" customFormat="false" ht="23.85" hidden="false" customHeight="false" outlineLevel="0" collapsed="false">
      <c r="A57" s="2" t="s">
        <v>680</v>
      </c>
      <c r="B57" s="2" t="s">
        <v>422</v>
      </c>
      <c r="C57" s="2" t="s">
        <v>681</v>
      </c>
      <c r="D57" s="2" t="s">
        <v>682</v>
      </c>
      <c r="E57" s="2" t="n">
        <v>2026</v>
      </c>
      <c r="F57" s="2" t="s">
        <v>683</v>
      </c>
      <c r="G57" s="2" t="s">
        <v>426</v>
      </c>
      <c r="H57" s="2" t="s">
        <v>684</v>
      </c>
      <c r="I57" s="2" t="s">
        <v>226</v>
      </c>
      <c r="J57" s="2"/>
      <c r="K57" s="2" t="s">
        <v>428</v>
      </c>
    </row>
    <row r="58" customFormat="false" ht="23.85" hidden="false" customHeight="false" outlineLevel="0" collapsed="false">
      <c r="A58" s="2" t="s">
        <v>685</v>
      </c>
      <c r="B58" s="2" t="s">
        <v>422</v>
      </c>
      <c r="C58" s="2" t="s">
        <v>686</v>
      </c>
      <c r="D58" s="2" t="s">
        <v>687</v>
      </c>
      <c r="E58" s="2" t="n">
        <v>2026</v>
      </c>
      <c r="F58" s="2" t="s">
        <v>688</v>
      </c>
      <c r="G58" s="2" t="s">
        <v>426</v>
      </c>
      <c r="H58" s="2" t="s">
        <v>689</v>
      </c>
      <c r="I58" s="2" t="s">
        <v>226</v>
      </c>
      <c r="J58" s="2" t="s">
        <v>690</v>
      </c>
      <c r="K58" s="2" t="s">
        <v>428</v>
      </c>
    </row>
    <row r="59" customFormat="false" ht="23.85" hidden="false" customHeight="false" outlineLevel="0" collapsed="false">
      <c r="A59" s="2" t="s">
        <v>691</v>
      </c>
      <c r="B59" s="2" t="s">
        <v>422</v>
      </c>
      <c r="C59" s="2" t="s">
        <v>692</v>
      </c>
      <c r="D59" s="2" t="s">
        <v>693</v>
      </c>
      <c r="E59" s="2" t="n">
        <v>2025</v>
      </c>
      <c r="F59" s="2" t="s">
        <v>694</v>
      </c>
      <c r="G59" s="2" t="s">
        <v>426</v>
      </c>
      <c r="H59" s="2" t="s">
        <v>695</v>
      </c>
      <c r="I59" s="2" t="s">
        <v>226</v>
      </c>
      <c r="J59" s="2"/>
      <c r="K59" s="2" t="s">
        <v>434</v>
      </c>
    </row>
    <row r="60" customFormat="false" ht="23.85" hidden="false" customHeight="false" outlineLevel="0" collapsed="false">
      <c r="A60" s="2" t="s">
        <v>696</v>
      </c>
      <c r="B60" s="2" t="s">
        <v>422</v>
      </c>
      <c r="C60" s="2" t="s">
        <v>697</v>
      </c>
      <c r="D60" s="2" t="s">
        <v>698</v>
      </c>
      <c r="E60" s="2" t="n">
        <v>2025</v>
      </c>
      <c r="F60" s="2" t="s">
        <v>699</v>
      </c>
      <c r="G60" s="2" t="s">
        <v>426</v>
      </c>
      <c r="H60" s="2" t="s">
        <v>700</v>
      </c>
      <c r="I60" s="2" t="s">
        <v>226</v>
      </c>
      <c r="J60" s="2" t="s">
        <v>445</v>
      </c>
      <c r="K60" s="2" t="s">
        <v>428</v>
      </c>
    </row>
    <row r="61" customFormat="false" ht="23.85" hidden="false" customHeight="false" outlineLevel="0" collapsed="false">
      <c r="A61" s="2" t="s">
        <v>701</v>
      </c>
      <c r="B61" s="2" t="s">
        <v>422</v>
      </c>
      <c r="C61" s="2" t="s">
        <v>702</v>
      </c>
      <c r="D61" s="2" t="s">
        <v>622</v>
      </c>
      <c r="E61" s="2" t="n">
        <v>2025</v>
      </c>
      <c r="F61" s="2" t="s">
        <v>703</v>
      </c>
      <c r="G61" s="2" t="s">
        <v>531</v>
      </c>
      <c r="H61" s="2" t="s">
        <v>704</v>
      </c>
      <c r="I61" s="2" t="s">
        <v>616</v>
      </c>
      <c r="J61" s="2" t="s">
        <v>705</v>
      </c>
      <c r="K61" s="2" t="s">
        <v>531</v>
      </c>
    </row>
    <row r="62" customFormat="false" ht="23.85" hidden="false" customHeight="false" outlineLevel="0" collapsed="false">
      <c r="A62" s="2" t="s">
        <v>706</v>
      </c>
      <c r="B62" s="2" t="s">
        <v>422</v>
      </c>
      <c r="C62" s="2" t="s">
        <v>707</v>
      </c>
      <c r="D62" s="2" t="s">
        <v>708</v>
      </c>
      <c r="E62" s="2" t="n">
        <v>2025</v>
      </c>
      <c r="F62" s="2" t="s">
        <v>709</v>
      </c>
      <c r="G62" s="2" t="s">
        <v>531</v>
      </c>
      <c r="H62" s="2" t="s">
        <v>710</v>
      </c>
      <c r="I62" s="2" t="s">
        <v>482</v>
      </c>
      <c r="J62" s="2" t="s">
        <v>445</v>
      </c>
      <c r="K62" s="2" t="s">
        <v>531</v>
      </c>
    </row>
    <row r="63" customFormat="false" ht="23.85" hidden="false" customHeight="false" outlineLevel="0" collapsed="false">
      <c r="A63" s="2" t="s">
        <v>711</v>
      </c>
      <c r="B63" s="2" t="s">
        <v>422</v>
      </c>
      <c r="C63" s="2" t="s">
        <v>712</v>
      </c>
      <c r="D63" s="2" t="s">
        <v>687</v>
      </c>
      <c r="E63" s="2" t="n">
        <v>2025</v>
      </c>
      <c r="F63" s="2" t="s">
        <v>713</v>
      </c>
      <c r="G63" s="2" t="s">
        <v>426</v>
      </c>
      <c r="H63" s="2" t="s">
        <v>714</v>
      </c>
      <c r="I63" s="2" t="s">
        <v>235</v>
      </c>
      <c r="J63" s="2"/>
      <c r="K63" s="2" t="s">
        <v>434</v>
      </c>
    </row>
    <row r="64" customFormat="false" ht="23.85" hidden="false" customHeight="false" outlineLevel="0" collapsed="false">
      <c r="A64" s="2" t="s">
        <v>715</v>
      </c>
      <c r="B64" s="2" t="s">
        <v>422</v>
      </c>
      <c r="C64" s="2" t="s">
        <v>716</v>
      </c>
      <c r="D64" s="2" t="s">
        <v>659</v>
      </c>
      <c r="E64" s="2" t="n">
        <v>2025</v>
      </c>
      <c r="F64" s="2" t="s">
        <v>717</v>
      </c>
      <c r="G64" s="2" t="s">
        <v>426</v>
      </c>
      <c r="H64" s="2" t="s">
        <v>718</v>
      </c>
      <c r="I64" s="2" t="s">
        <v>226</v>
      </c>
      <c r="J64" s="2"/>
      <c r="K64" s="2" t="s">
        <v>428</v>
      </c>
    </row>
    <row r="65" customFormat="false" ht="23.85" hidden="false" customHeight="false" outlineLevel="0" collapsed="false">
      <c r="A65" s="2" t="s">
        <v>719</v>
      </c>
      <c r="B65" s="2" t="s">
        <v>422</v>
      </c>
      <c r="C65" s="2" t="s">
        <v>323</v>
      </c>
      <c r="D65" s="2" t="s">
        <v>720</v>
      </c>
      <c r="E65" s="2" t="n">
        <v>2025</v>
      </c>
      <c r="F65" s="2" t="s">
        <v>721</v>
      </c>
      <c r="G65" s="2" t="s">
        <v>426</v>
      </c>
      <c r="H65" s="2" t="s">
        <v>538</v>
      </c>
      <c r="I65" s="2" t="s">
        <v>226</v>
      </c>
      <c r="J65" s="2"/>
      <c r="K65" s="2" t="s">
        <v>428</v>
      </c>
    </row>
    <row r="66" customFormat="false" ht="23.85" hidden="false" customHeight="false" outlineLevel="0" collapsed="false">
      <c r="A66" s="2" t="s">
        <v>722</v>
      </c>
      <c r="B66" s="2" t="s">
        <v>422</v>
      </c>
      <c r="C66" s="2" t="s">
        <v>723</v>
      </c>
      <c r="D66" s="2" t="s">
        <v>604</v>
      </c>
      <c r="E66" s="2" t="n">
        <v>2025</v>
      </c>
      <c r="F66" s="2" t="s">
        <v>724</v>
      </c>
      <c r="G66" s="2" t="s">
        <v>426</v>
      </c>
      <c r="H66" s="2" t="s">
        <v>725</v>
      </c>
      <c r="I66" s="2" t="s">
        <v>226</v>
      </c>
      <c r="J66" s="2"/>
      <c r="K66" s="2" t="s">
        <v>428</v>
      </c>
    </row>
    <row r="67" customFormat="false" ht="23.85" hidden="false" customHeight="false" outlineLevel="0" collapsed="false">
      <c r="A67" s="2" t="s">
        <v>726</v>
      </c>
      <c r="B67" s="2" t="s">
        <v>422</v>
      </c>
      <c r="C67" s="2" t="s">
        <v>727</v>
      </c>
      <c r="D67" s="2" t="s">
        <v>728</v>
      </c>
      <c r="E67" s="2" t="n">
        <v>2025</v>
      </c>
      <c r="F67" s="2" t="s">
        <v>729</v>
      </c>
      <c r="G67" s="2" t="s">
        <v>426</v>
      </c>
      <c r="H67" s="2" t="s">
        <v>453</v>
      </c>
      <c r="I67" s="2" t="s">
        <v>226</v>
      </c>
      <c r="J67" s="2"/>
      <c r="K67" s="2" t="s">
        <v>434</v>
      </c>
    </row>
    <row r="68" customFormat="false" ht="23.85" hidden="false" customHeight="false" outlineLevel="0" collapsed="false">
      <c r="A68" s="2" t="s">
        <v>730</v>
      </c>
      <c r="B68" s="2" t="s">
        <v>422</v>
      </c>
      <c r="C68" s="2" t="s">
        <v>302</v>
      </c>
      <c r="D68" s="2" t="s">
        <v>731</v>
      </c>
      <c r="E68" s="2" t="n">
        <v>2025</v>
      </c>
      <c r="F68" s="2" t="s">
        <v>732</v>
      </c>
      <c r="G68" s="2" t="s">
        <v>426</v>
      </c>
      <c r="H68" s="2" t="s">
        <v>733</v>
      </c>
      <c r="I68" s="2" t="s">
        <v>240</v>
      </c>
      <c r="J68" s="2"/>
      <c r="K68" s="2" t="s">
        <v>434</v>
      </c>
    </row>
    <row r="69" customFormat="false" ht="23.85" hidden="false" customHeight="false" outlineLevel="0" collapsed="false">
      <c r="A69" s="2" t="s">
        <v>734</v>
      </c>
      <c r="B69" s="2" t="s">
        <v>422</v>
      </c>
      <c r="C69" s="2" t="s">
        <v>283</v>
      </c>
      <c r="D69" s="2" t="s">
        <v>735</v>
      </c>
      <c r="E69" s="2" t="n">
        <v>2026</v>
      </c>
      <c r="F69" s="2" t="s">
        <v>736</v>
      </c>
      <c r="G69" s="2" t="s">
        <v>426</v>
      </c>
      <c r="H69" s="2" t="s">
        <v>737</v>
      </c>
      <c r="I69" s="2" t="s">
        <v>637</v>
      </c>
      <c r="J69" s="2" t="s">
        <v>638</v>
      </c>
      <c r="K69" s="2" t="s">
        <v>434</v>
      </c>
    </row>
    <row r="70" customFormat="false" ht="23.85" hidden="false" customHeight="false" outlineLevel="0" collapsed="false">
      <c r="A70" s="2" t="s">
        <v>738</v>
      </c>
      <c r="B70" s="2" t="s">
        <v>422</v>
      </c>
      <c r="C70" s="2" t="s">
        <v>739</v>
      </c>
      <c r="D70" s="2" t="s">
        <v>460</v>
      </c>
      <c r="E70" s="2" t="n">
        <v>2026</v>
      </c>
      <c r="F70" s="2" t="s">
        <v>740</v>
      </c>
      <c r="G70" s="2" t="s">
        <v>426</v>
      </c>
      <c r="H70" s="2" t="s">
        <v>741</v>
      </c>
      <c r="I70" s="2" t="s">
        <v>226</v>
      </c>
      <c r="J70" s="2" t="s">
        <v>445</v>
      </c>
      <c r="K70" s="2" t="s">
        <v>428</v>
      </c>
    </row>
    <row r="71" customFormat="false" ht="23.85" hidden="false" customHeight="false" outlineLevel="0" collapsed="false">
      <c r="A71" s="2" t="s">
        <v>742</v>
      </c>
      <c r="B71" s="2" t="s">
        <v>422</v>
      </c>
      <c r="C71" s="2" t="s">
        <v>743</v>
      </c>
      <c r="D71" s="2" t="s">
        <v>744</v>
      </c>
      <c r="E71" s="2" t="n">
        <v>2025</v>
      </c>
      <c r="F71" s="2" t="s">
        <v>745</v>
      </c>
      <c r="G71" s="2" t="s">
        <v>426</v>
      </c>
      <c r="H71" s="2" t="s">
        <v>746</v>
      </c>
      <c r="I71" s="2" t="s">
        <v>226</v>
      </c>
      <c r="J71" s="2" t="s">
        <v>445</v>
      </c>
      <c r="K71" s="2" t="s">
        <v>428</v>
      </c>
    </row>
    <row r="72" customFormat="false" ht="23.85" hidden="false" customHeight="false" outlineLevel="0" collapsed="false">
      <c r="A72" s="2" t="s">
        <v>747</v>
      </c>
      <c r="B72" s="2" t="s">
        <v>422</v>
      </c>
      <c r="C72" s="2" t="s">
        <v>748</v>
      </c>
      <c r="D72" s="2" t="s">
        <v>749</v>
      </c>
      <c r="E72" s="2" t="n">
        <v>2024</v>
      </c>
      <c r="F72" s="2" t="s">
        <v>750</v>
      </c>
      <c r="G72" s="2" t="s">
        <v>426</v>
      </c>
      <c r="H72" s="2" t="s">
        <v>751</v>
      </c>
      <c r="I72" s="2" t="s">
        <v>226</v>
      </c>
      <c r="J72" s="2" t="s">
        <v>752</v>
      </c>
      <c r="K72" s="2" t="s">
        <v>434</v>
      </c>
    </row>
    <row r="73" customFormat="false" ht="23.85" hidden="false" customHeight="false" outlineLevel="0" collapsed="false">
      <c r="A73" s="2" t="s">
        <v>753</v>
      </c>
      <c r="B73" s="2" t="s">
        <v>422</v>
      </c>
      <c r="C73" s="2" t="s">
        <v>754</v>
      </c>
      <c r="D73" s="2" t="s">
        <v>596</v>
      </c>
      <c r="E73" s="2" t="n">
        <v>2026</v>
      </c>
      <c r="F73" s="2" t="s">
        <v>755</v>
      </c>
      <c r="G73" s="2" t="s">
        <v>426</v>
      </c>
      <c r="H73" s="2" t="s">
        <v>538</v>
      </c>
      <c r="I73" s="2" t="s">
        <v>226</v>
      </c>
      <c r="J73" s="2"/>
      <c r="K73" s="2" t="s">
        <v>428</v>
      </c>
    </row>
    <row r="74" customFormat="false" ht="23.85" hidden="false" customHeight="false" outlineLevel="0" collapsed="false">
      <c r="A74" s="2" t="s">
        <v>756</v>
      </c>
      <c r="B74" s="2" t="s">
        <v>422</v>
      </c>
      <c r="C74" s="2" t="s">
        <v>306</v>
      </c>
      <c r="D74" s="2" t="s">
        <v>437</v>
      </c>
      <c r="E74" s="2" t="n">
        <v>2025</v>
      </c>
      <c r="F74" s="2" t="s">
        <v>757</v>
      </c>
      <c r="G74" s="2" t="s">
        <v>426</v>
      </c>
      <c r="H74" s="2" t="s">
        <v>758</v>
      </c>
      <c r="I74" s="2" t="s">
        <v>637</v>
      </c>
      <c r="J74" s="2" t="s">
        <v>759</v>
      </c>
      <c r="K74" s="2" t="s">
        <v>434</v>
      </c>
    </row>
    <row r="75" customFormat="false" ht="23.85" hidden="false" customHeight="false" outlineLevel="0" collapsed="false">
      <c r="A75" s="2" t="s">
        <v>760</v>
      </c>
      <c r="B75" s="2" t="s">
        <v>422</v>
      </c>
      <c r="C75" s="2" t="s">
        <v>761</v>
      </c>
      <c r="D75" s="2" t="s">
        <v>762</v>
      </c>
      <c r="E75" s="2" t="n">
        <v>2024</v>
      </c>
      <c r="F75" s="2" t="s">
        <v>763</v>
      </c>
      <c r="G75" s="2" t="s">
        <v>426</v>
      </c>
      <c r="H75" s="2" t="s">
        <v>538</v>
      </c>
      <c r="I75" s="2" t="s">
        <v>226</v>
      </c>
      <c r="J75" s="2"/>
      <c r="K75" s="2" t="s">
        <v>428</v>
      </c>
    </row>
    <row r="76" customFormat="false" ht="23.85" hidden="false" customHeight="false" outlineLevel="0" collapsed="false">
      <c r="A76" s="2" t="s">
        <v>764</v>
      </c>
      <c r="B76" s="2" t="s">
        <v>422</v>
      </c>
      <c r="C76" s="2" t="s">
        <v>765</v>
      </c>
      <c r="D76" s="2" t="s">
        <v>766</v>
      </c>
      <c r="E76" s="2" t="n">
        <v>2026</v>
      </c>
      <c r="F76" s="2" t="s">
        <v>767</v>
      </c>
      <c r="G76" s="2" t="s">
        <v>426</v>
      </c>
      <c r="H76" s="2" t="s">
        <v>768</v>
      </c>
      <c r="I76" s="2" t="s">
        <v>226</v>
      </c>
      <c r="J76" s="2"/>
      <c r="K76" s="2" t="s">
        <v>428</v>
      </c>
    </row>
    <row r="77" customFormat="false" ht="23.85" hidden="false" customHeight="false" outlineLevel="0" collapsed="false">
      <c r="A77" s="2" t="s">
        <v>769</v>
      </c>
      <c r="B77" s="2" t="s">
        <v>422</v>
      </c>
      <c r="C77" s="2" t="s">
        <v>770</v>
      </c>
      <c r="D77" s="2" t="s">
        <v>507</v>
      </c>
      <c r="E77" s="2" t="n">
        <v>2026</v>
      </c>
      <c r="F77" s="2" t="s">
        <v>771</v>
      </c>
      <c r="G77" s="2" t="s">
        <v>531</v>
      </c>
      <c r="H77" s="2" t="s">
        <v>772</v>
      </c>
      <c r="I77" s="2" t="s">
        <v>482</v>
      </c>
      <c r="J77" s="2" t="s">
        <v>445</v>
      </c>
      <c r="K77" s="2" t="s">
        <v>531</v>
      </c>
    </row>
    <row r="78" customFormat="false" ht="23.85" hidden="false" customHeight="false" outlineLevel="0" collapsed="false">
      <c r="A78" s="2" t="s">
        <v>773</v>
      </c>
      <c r="B78" s="2" t="s">
        <v>422</v>
      </c>
      <c r="C78" s="2" t="s">
        <v>774</v>
      </c>
      <c r="D78" s="2" t="s">
        <v>507</v>
      </c>
      <c r="E78" s="2" t="n">
        <v>2026</v>
      </c>
      <c r="F78" s="2" t="s">
        <v>775</v>
      </c>
      <c r="G78" s="2" t="s">
        <v>531</v>
      </c>
      <c r="H78" s="2" t="s">
        <v>776</v>
      </c>
      <c r="I78" s="2" t="s">
        <v>482</v>
      </c>
      <c r="J78" s="2"/>
      <c r="K78" s="2" t="s">
        <v>531</v>
      </c>
    </row>
    <row r="79" customFormat="false" ht="23.85" hidden="false" customHeight="false" outlineLevel="0" collapsed="false">
      <c r="A79" s="2" t="s">
        <v>777</v>
      </c>
      <c r="B79" s="2" t="s">
        <v>422</v>
      </c>
      <c r="C79" s="2" t="s">
        <v>778</v>
      </c>
      <c r="D79" s="2" t="s">
        <v>525</v>
      </c>
      <c r="E79" s="2" t="n">
        <v>2026</v>
      </c>
      <c r="F79" s="2" t="s">
        <v>779</v>
      </c>
      <c r="G79" s="2" t="s">
        <v>426</v>
      </c>
      <c r="H79" s="2" t="s">
        <v>538</v>
      </c>
      <c r="I79" s="2" t="s">
        <v>226</v>
      </c>
      <c r="J79" s="2"/>
      <c r="K79" s="2" t="s">
        <v>428</v>
      </c>
    </row>
    <row r="80" customFormat="false" ht="23.85" hidden="false" customHeight="false" outlineLevel="0" collapsed="false">
      <c r="A80" s="2" t="s">
        <v>780</v>
      </c>
      <c r="B80" s="2" t="s">
        <v>422</v>
      </c>
      <c r="C80" s="2" t="s">
        <v>232</v>
      </c>
      <c r="D80" s="2" t="s">
        <v>622</v>
      </c>
      <c r="E80" s="2" t="n">
        <v>2025</v>
      </c>
      <c r="F80" s="2" t="s">
        <v>781</v>
      </c>
      <c r="G80" s="2" t="s">
        <v>426</v>
      </c>
      <c r="H80" s="2" t="s">
        <v>782</v>
      </c>
      <c r="I80" s="2" t="s">
        <v>235</v>
      </c>
      <c r="J80" s="2" t="s">
        <v>783</v>
      </c>
      <c r="K80" s="2" t="s">
        <v>434</v>
      </c>
    </row>
    <row r="81" customFormat="false" ht="23.85" hidden="false" customHeight="false" outlineLevel="0" collapsed="false">
      <c r="A81" s="2" t="s">
        <v>784</v>
      </c>
      <c r="B81" s="2" t="s">
        <v>422</v>
      </c>
      <c r="C81" s="2" t="s">
        <v>785</v>
      </c>
      <c r="D81" s="2" t="s">
        <v>786</v>
      </c>
      <c r="E81" s="2" t="n">
        <v>2026</v>
      </c>
      <c r="F81" s="2" t="s">
        <v>787</v>
      </c>
      <c r="G81" s="2" t="s">
        <v>426</v>
      </c>
      <c r="H81" s="2" t="s">
        <v>788</v>
      </c>
      <c r="I81" s="2" t="s">
        <v>789</v>
      </c>
      <c r="J81" s="2"/>
      <c r="K81" s="2" t="s">
        <v>434</v>
      </c>
    </row>
    <row r="82" customFormat="false" ht="23.85" hidden="false" customHeight="false" outlineLevel="0" collapsed="false">
      <c r="A82" s="2" t="s">
        <v>790</v>
      </c>
      <c r="B82" s="2" t="s">
        <v>422</v>
      </c>
      <c r="C82" s="2" t="s">
        <v>329</v>
      </c>
      <c r="D82" s="2" t="s">
        <v>791</v>
      </c>
      <c r="E82" s="2" t="n">
        <v>2026</v>
      </c>
      <c r="F82" s="2" t="s">
        <v>792</v>
      </c>
      <c r="G82" s="2" t="s">
        <v>426</v>
      </c>
      <c r="H82" s="2" t="s">
        <v>793</v>
      </c>
      <c r="I82" s="2" t="s">
        <v>794</v>
      </c>
      <c r="J82" s="2" t="s">
        <v>445</v>
      </c>
      <c r="K82" s="2" t="s">
        <v>434</v>
      </c>
    </row>
    <row r="83" customFormat="false" ht="23.85" hidden="false" customHeight="false" outlineLevel="0" collapsed="false">
      <c r="A83" s="2" t="s">
        <v>795</v>
      </c>
      <c r="B83" s="2" t="s">
        <v>422</v>
      </c>
      <c r="C83" s="2" t="s">
        <v>310</v>
      </c>
      <c r="D83" s="2" t="s">
        <v>796</v>
      </c>
      <c r="E83" s="2" t="n">
        <v>2025</v>
      </c>
      <c r="F83" s="2" t="s">
        <v>797</v>
      </c>
      <c r="G83" s="2" t="s">
        <v>426</v>
      </c>
      <c r="H83" s="2" t="s">
        <v>798</v>
      </c>
      <c r="I83" s="2" t="s">
        <v>240</v>
      </c>
      <c r="J83" s="2"/>
      <c r="K83" s="2" t="s">
        <v>434</v>
      </c>
    </row>
    <row r="84" customFormat="false" ht="23.85" hidden="false" customHeight="false" outlineLevel="0" collapsed="false">
      <c r="A84" s="2" t="s">
        <v>799</v>
      </c>
      <c r="B84" s="2" t="s">
        <v>422</v>
      </c>
      <c r="C84" s="2" t="s">
        <v>255</v>
      </c>
      <c r="D84" s="2" t="s">
        <v>800</v>
      </c>
      <c r="E84" s="2" t="n">
        <v>2026</v>
      </c>
      <c r="F84" s="2" t="s">
        <v>801</v>
      </c>
      <c r="G84" s="2" t="s">
        <v>531</v>
      </c>
      <c r="H84" s="2" t="s">
        <v>802</v>
      </c>
      <c r="I84" s="2" t="s">
        <v>482</v>
      </c>
      <c r="J84" s="2" t="s">
        <v>445</v>
      </c>
      <c r="K84" s="2" t="s">
        <v>531</v>
      </c>
    </row>
    <row r="85" customFormat="false" ht="23.85" hidden="false" customHeight="false" outlineLevel="0" collapsed="false">
      <c r="A85" s="2" t="s">
        <v>803</v>
      </c>
      <c r="B85" s="2" t="s">
        <v>422</v>
      </c>
      <c r="C85" s="2" t="s">
        <v>804</v>
      </c>
      <c r="D85" s="2" t="s">
        <v>805</v>
      </c>
      <c r="E85" s="2" t="n">
        <v>2025</v>
      </c>
      <c r="F85" s="2" t="s">
        <v>806</v>
      </c>
      <c r="G85" s="2" t="s">
        <v>531</v>
      </c>
      <c r="H85" s="2" t="s">
        <v>674</v>
      </c>
      <c r="I85" s="2" t="s">
        <v>482</v>
      </c>
      <c r="J85" s="2"/>
      <c r="K85" s="2" t="s">
        <v>531</v>
      </c>
    </row>
    <row r="86" customFormat="false" ht="23.85" hidden="false" customHeight="false" outlineLevel="0" collapsed="false">
      <c r="A86" s="2" t="s">
        <v>807</v>
      </c>
      <c r="B86" s="2" t="s">
        <v>422</v>
      </c>
      <c r="C86" s="2" t="s">
        <v>314</v>
      </c>
      <c r="D86" s="2" t="s">
        <v>693</v>
      </c>
      <c r="E86" s="2" t="n">
        <v>2024</v>
      </c>
      <c r="F86" s="2" t="s">
        <v>808</v>
      </c>
      <c r="G86" s="2" t="s">
        <v>426</v>
      </c>
      <c r="H86" s="2" t="s">
        <v>809</v>
      </c>
      <c r="I86" s="2" t="s">
        <v>226</v>
      </c>
      <c r="J86" s="2" t="s">
        <v>810</v>
      </c>
      <c r="K86" s="2" t="s">
        <v>428</v>
      </c>
    </row>
    <row r="87" customFormat="false" ht="23.85" hidden="false" customHeight="false" outlineLevel="0" collapsed="false">
      <c r="A87" s="2" t="s">
        <v>811</v>
      </c>
      <c r="B87" s="2" t="s">
        <v>422</v>
      </c>
      <c r="C87" s="2" t="s">
        <v>812</v>
      </c>
      <c r="D87" s="2" t="s">
        <v>437</v>
      </c>
      <c r="E87" s="2" t="n">
        <v>2025</v>
      </c>
      <c r="F87" s="2" t="s">
        <v>813</v>
      </c>
      <c r="G87" s="2" t="s">
        <v>426</v>
      </c>
      <c r="H87" s="2" t="s">
        <v>814</v>
      </c>
      <c r="I87" s="2" t="s">
        <v>235</v>
      </c>
      <c r="J87" s="2"/>
      <c r="K87" s="2" t="s">
        <v>434</v>
      </c>
    </row>
    <row r="88" customFormat="false" ht="23.85" hidden="false" customHeight="false" outlineLevel="0" collapsed="false">
      <c r="A88" s="2" t="s">
        <v>815</v>
      </c>
      <c r="B88" s="2" t="s">
        <v>422</v>
      </c>
      <c r="C88" s="2" t="s">
        <v>816</v>
      </c>
      <c r="D88" s="2" t="s">
        <v>817</v>
      </c>
      <c r="E88" s="2" t="n">
        <v>2026</v>
      </c>
      <c r="F88" s="2" t="s">
        <v>818</v>
      </c>
      <c r="G88" s="2" t="s">
        <v>426</v>
      </c>
      <c r="H88" s="2" t="s">
        <v>819</v>
      </c>
      <c r="I88" s="2" t="s">
        <v>226</v>
      </c>
      <c r="J88" s="2"/>
      <c r="K88" s="2" t="s">
        <v>428</v>
      </c>
    </row>
    <row r="89" customFormat="false" ht="23.85" hidden="false" customHeight="false" outlineLevel="0" collapsed="false">
      <c r="A89" s="2" t="s">
        <v>820</v>
      </c>
      <c r="B89" s="2" t="s">
        <v>422</v>
      </c>
      <c r="C89" s="2" t="s">
        <v>821</v>
      </c>
      <c r="D89" s="2" t="s">
        <v>822</v>
      </c>
      <c r="E89" s="2" t="n">
        <v>2026</v>
      </c>
      <c r="F89" s="2" t="s">
        <v>823</v>
      </c>
      <c r="G89" s="2" t="s">
        <v>531</v>
      </c>
      <c r="H89" s="2" t="s">
        <v>824</v>
      </c>
      <c r="I89" s="2" t="s">
        <v>482</v>
      </c>
      <c r="J89" s="2"/>
      <c r="K89" s="2" t="s">
        <v>531</v>
      </c>
    </row>
    <row r="90" customFormat="false" ht="15" hidden="false" customHeight="false" outlineLevel="0" collapsed="false">
      <c r="A90" s="2" t="s">
        <v>825</v>
      </c>
      <c r="B90" s="2" t="s">
        <v>422</v>
      </c>
      <c r="C90" s="2" t="s">
        <v>317</v>
      </c>
      <c r="D90" s="2" t="s">
        <v>507</v>
      </c>
      <c r="E90" s="2" t="n">
        <v>2026</v>
      </c>
      <c r="F90" s="2" t="s">
        <v>826</v>
      </c>
      <c r="G90" s="2" t="s">
        <v>426</v>
      </c>
      <c r="H90" s="2" t="s">
        <v>827</v>
      </c>
      <c r="I90" s="2" t="s">
        <v>226</v>
      </c>
      <c r="J90" s="2"/>
      <c r="K90" s="2" t="s">
        <v>434</v>
      </c>
    </row>
    <row r="91" customFormat="false" ht="15" hidden="false" customHeight="false" outlineLevel="0" collapsed="false">
      <c r="A91" s="2" t="s">
        <v>828</v>
      </c>
      <c r="B91" s="2" t="s">
        <v>422</v>
      </c>
      <c r="C91" s="2" t="s">
        <v>829</v>
      </c>
      <c r="D91" s="2" t="s">
        <v>507</v>
      </c>
      <c r="E91" s="2" t="n">
        <v>2026</v>
      </c>
      <c r="F91" s="2" t="s">
        <v>830</v>
      </c>
      <c r="G91" s="2" t="s">
        <v>531</v>
      </c>
      <c r="H91" s="2" t="s">
        <v>674</v>
      </c>
      <c r="I91" s="2" t="s">
        <v>482</v>
      </c>
      <c r="J91" s="2"/>
      <c r="K91" s="2" t="s">
        <v>531</v>
      </c>
    </row>
    <row r="92" customFormat="false" ht="23.85" hidden="false" customHeight="false" outlineLevel="0" collapsed="false">
      <c r="A92" s="2" t="s">
        <v>831</v>
      </c>
      <c r="B92" s="2" t="s">
        <v>422</v>
      </c>
      <c r="C92" s="2" t="s">
        <v>832</v>
      </c>
      <c r="D92" s="2" t="s">
        <v>596</v>
      </c>
      <c r="E92" s="2" t="n">
        <v>2026</v>
      </c>
      <c r="F92" s="2" t="s">
        <v>833</v>
      </c>
      <c r="G92" s="2" t="s">
        <v>531</v>
      </c>
      <c r="H92" s="2" t="s">
        <v>834</v>
      </c>
      <c r="I92" s="2" t="s">
        <v>482</v>
      </c>
      <c r="J92" s="2" t="s">
        <v>445</v>
      </c>
      <c r="K92" s="2" t="s">
        <v>531</v>
      </c>
    </row>
    <row r="93" customFormat="false" ht="23.85" hidden="false" customHeight="false" outlineLevel="0" collapsed="false">
      <c r="A93" s="2" t="s">
        <v>835</v>
      </c>
      <c r="B93" s="2" t="s">
        <v>422</v>
      </c>
      <c r="C93" s="2" t="s">
        <v>836</v>
      </c>
      <c r="D93" s="2" t="s">
        <v>837</v>
      </c>
      <c r="E93" s="2" t="n">
        <v>2026</v>
      </c>
      <c r="F93" s="2" t="s">
        <v>838</v>
      </c>
      <c r="G93" s="2" t="s">
        <v>531</v>
      </c>
      <c r="H93" s="2" t="s">
        <v>839</v>
      </c>
      <c r="I93" s="2" t="s">
        <v>482</v>
      </c>
      <c r="J93" s="2"/>
      <c r="K93" s="2" t="s">
        <v>531</v>
      </c>
    </row>
    <row r="94" customFormat="false" ht="15" hidden="false" customHeight="false" outlineLevel="0" collapsed="false">
      <c r="A94" s="2" t="s">
        <v>840</v>
      </c>
      <c r="B94" s="2" t="s">
        <v>422</v>
      </c>
      <c r="C94" s="2" t="s">
        <v>380</v>
      </c>
      <c r="D94" s="2" t="s">
        <v>437</v>
      </c>
      <c r="E94" s="2" t="n">
        <v>2024</v>
      </c>
      <c r="F94" s="2" t="s">
        <v>841</v>
      </c>
      <c r="G94" s="2" t="s">
        <v>842</v>
      </c>
      <c r="H94" s="2" t="s">
        <v>843</v>
      </c>
      <c r="I94" s="2" t="s">
        <v>240</v>
      </c>
      <c r="J94" s="2"/>
      <c r="K94" s="2" t="s">
        <v>842</v>
      </c>
    </row>
    <row r="95" customFormat="false" ht="23.85" hidden="false" customHeight="false" outlineLevel="0" collapsed="false">
      <c r="A95" s="2" t="s">
        <v>844</v>
      </c>
      <c r="B95" s="2" t="s">
        <v>422</v>
      </c>
      <c r="C95" s="2" t="s">
        <v>845</v>
      </c>
      <c r="D95" s="2" t="s">
        <v>437</v>
      </c>
      <c r="E95" s="2" t="n">
        <v>2022</v>
      </c>
      <c r="F95" s="2" t="s">
        <v>846</v>
      </c>
      <c r="G95" s="2" t="s">
        <v>842</v>
      </c>
      <c r="H95" s="2" t="s">
        <v>847</v>
      </c>
      <c r="I95" s="2" t="s">
        <v>226</v>
      </c>
      <c r="J95" s="2"/>
      <c r="K95" s="2" t="s">
        <v>842</v>
      </c>
    </row>
    <row r="96" customFormat="false" ht="23.85" hidden="false" customHeight="false" outlineLevel="0" collapsed="false">
      <c r="A96" s="2" t="s">
        <v>848</v>
      </c>
      <c r="B96" s="2" t="s">
        <v>849</v>
      </c>
      <c r="C96" s="2" t="s">
        <v>850</v>
      </c>
      <c r="D96" s="2" t="s">
        <v>851</v>
      </c>
      <c r="E96" s="2" t="n">
        <v>2026</v>
      </c>
      <c r="F96" s="2" t="s">
        <v>852</v>
      </c>
      <c r="G96" s="2" t="s">
        <v>426</v>
      </c>
      <c r="H96" s="2" t="s">
        <v>853</v>
      </c>
      <c r="I96" s="2" t="s">
        <v>226</v>
      </c>
      <c r="J96" s="2"/>
      <c r="K96" s="2" t="s">
        <v>428</v>
      </c>
    </row>
    <row r="97" customFormat="false" ht="23.85" hidden="false" customHeight="false" outlineLevel="0" collapsed="false">
      <c r="A97" s="2" t="s">
        <v>854</v>
      </c>
      <c r="B97" s="2" t="s">
        <v>849</v>
      </c>
      <c r="C97" s="2" t="s">
        <v>368</v>
      </c>
      <c r="D97" s="2" t="s">
        <v>855</v>
      </c>
      <c r="E97" s="2" t="n">
        <v>2026</v>
      </c>
      <c r="F97" s="2" t="s">
        <v>856</v>
      </c>
      <c r="G97" s="2" t="s">
        <v>374</v>
      </c>
      <c r="H97" s="2" t="s">
        <v>857</v>
      </c>
      <c r="I97" s="2" t="s">
        <v>482</v>
      </c>
      <c r="J97" s="2" t="s">
        <v>445</v>
      </c>
      <c r="K97" s="2" t="s">
        <v>374</v>
      </c>
    </row>
    <row r="98" customFormat="false" ht="23.85" hidden="false" customHeight="false" outlineLevel="0" collapsed="false">
      <c r="A98" s="2" t="s">
        <v>858</v>
      </c>
      <c r="B98" s="2" t="s">
        <v>849</v>
      </c>
      <c r="C98" s="2" t="s">
        <v>859</v>
      </c>
      <c r="D98" s="2" t="s">
        <v>860</v>
      </c>
      <c r="E98" s="2" t="n">
        <v>2026</v>
      </c>
      <c r="F98" s="2" t="s">
        <v>861</v>
      </c>
      <c r="G98" s="2" t="s">
        <v>426</v>
      </c>
      <c r="H98" s="2" t="s">
        <v>538</v>
      </c>
      <c r="I98" s="2" t="s">
        <v>226</v>
      </c>
      <c r="J98" s="2"/>
      <c r="K98" s="2" t="s">
        <v>428</v>
      </c>
    </row>
    <row r="99" customFormat="false" ht="23.85" hidden="false" customHeight="false" outlineLevel="0" collapsed="false">
      <c r="A99" s="2" t="s">
        <v>862</v>
      </c>
      <c r="B99" s="2" t="s">
        <v>849</v>
      </c>
      <c r="C99" s="2" t="s">
        <v>863</v>
      </c>
      <c r="D99" s="2" t="s">
        <v>864</v>
      </c>
      <c r="E99" s="2" t="n">
        <v>2026</v>
      </c>
      <c r="F99" s="2" t="s">
        <v>865</v>
      </c>
      <c r="G99" s="2" t="s">
        <v>531</v>
      </c>
      <c r="H99" s="2" t="s">
        <v>866</v>
      </c>
      <c r="I99" s="2" t="s">
        <v>482</v>
      </c>
      <c r="J99" s="2"/>
      <c r="K99" s="2" t="s">
        <v>531</v>
      </c>
    </row>
    <row r="100" customFormat="false" ht="23.85" hidden="false" customHeight="false" outlineLevel="0" collapsed="false">
      <c r="A100" s="2" t="s">
        <v>867</v>
      </c>
      <c r="B100" s="2" t="s">
        <v>849</v>
      </c>
      <c r="C100" s="2" t="s">
        <v>868</v>
      </c>
      <c r="D100" s="2" t="s">
        <v>869</v>
      </c>
      <c r="E100" s="2" t="n">
        <v>2026</v>
      </c>
      <c r="F100" s="2" t="s">
        <v>870</v>
      </c>
      <c r="G100" s="2" t="s">
        <v>531</v>
      </c>
      <c r="H100" s="2" t="s">
        <v>871</v>
      </c>
      <c r="I100" s="2" t="s">
        <v>482</v>
      </c>
      <c r="J100" s="2" t="s">
        <v>445</v>
      </c>
      <c r="K100" s="2" t="s">
        <v>531</v>
      </c>
    </row>
    <row r="101" customFormat="false" ht="23.85" hidden="false" customHeight="false" outlineLevel="0" collapsed="false">
      <c r="A101" s="2" t="s">
        <v>872</v>
      </c>
      <c r="B101" s="2" t="s">
        <v>849</v>
      </c>
      <c r="C101" s="2" t="s">
        <v>873</v>
      </c>
      <c r="D101" s="2" t="s">
        <v>874</v>
      </c>
      <c r="E101" s="2" t="n">
        <v>2026</v>
      </c>
      <c r="F101" s="2" t="s">
        <v>875</v>
      </c>
      <c r="G101" s="2" t="s">
        <v>426</v>
      </c>
      <c r="H101" s="2" t="s">
        <v>453</v>
      </c>
      <c r="I101" s="2" t="s">
        <v>226</v>
      </c>
      <c r="J101" s="2"/>
      <c r="K101" s="2" t="s">
        <v>434</v>
      </c>
    </row>
    <row r="102" customFormat="false" ht="23.85" hidden="false" customHeight="false" outlineLevel="0" collapsed="false">
      <c r="A102" s="2" t="s">
        <v>876</v>
      </c>
      <c r="B102" s="2" t="s">
        <v>849</v>
      </c>
      <c r="C102" s="2" t="s">
        <v>877</v>
      </c>
      <c r="D102" s="2" t="s">
        <v>860</v>
      </c>
      <c r="E102" s="2" t="n">
        <v>2026</v>
      </c>
      <c r="F102" s="2" t="s">
        <v>878</v>
      </c>
      <c r="G102" s="2" t="s">
        <v>426</v>
      </c>
      <c r="H102" s="2" t="s">
        <v>538</v>
      </c>
      <c r="I102" s="2" t="s">
        <v>226</v>
      </c>
      <c r="J102" s="2"/>
      <c r="K102" s="2" t="s">
        <v>428</v>
      </c>
    </row>
    <row r="103" customFormat="false" ht="23.85" hidden="false" customHeight="false" outlineLevel="0" collapsed="false">
      <c r="A103" s="2" t="s">
        <v>879</v>
      </c>
      <c r="B103" s="2" t="s">
        <v>849</v>
      </c>
      <c r="C103" s="2" t="s">
        <v>880</v>
      </c>
      <c r="D103" s="2" t="s">
        <v>881</v>
      </c>
      <c r="E103" s="2" t="n">
        <v>2026</v>
      </c>
      <c r="F103" s="2" t="s">
        <v>882</v>
      </c>
      <c r="G103" s="2" t="s">
        <v>531</v>
      </c>
      <c r="H103" s="2" t="s">
        <v>883</v>
      </c>
      <c r="I103" s="2" t="s">
        <v>482</v>
      </c>
      <c r="J103" s="2"/>
      <c r="K103" s="2" t="s">
        <v>531</v>
      </c>
    </row>
    <row r="104" customFormat="false" ht="23.85" hidden="false" customHeight="false" outlineLevel="0" collapsed="false">
      <c r="A104" s="2" t="s">
        <v>364</v>
      </c>
      <c r="B104" s="2" t="s">
        <v>849</v>
      </c>
      <c r="C104" s="2" t="s">
        <v>884</v>
      </c>
      <c r="D104" s="2" t="s">
        <v>885</v>
      </c>
      <c r="E104" s="2" t="n">
        <v>2026</v>
      </c>
      <c r="F104" s="2" t="s">
        <v>886</v>
      </c>
      <c r="G104" s="2" t="s">
        <v>426</v>
      </c>
      <c r="H104" s="2" t="s">
        <v>887</v>
      </c>
      <c r="I104" s="2" t="s">
        <v>226</v>
      </c>
      <c r="J104" s="2"/>
      <c r="K104" s="2" t="s">
        <v>434</v>
      </c>
    </row>
    <row r="105" customFormat="false" ht="23.85" hidden="false" customHeight="false" outlineLevel="0" collapsed="false">
      <c r="A105" s="2" t="s">
        <v>367</v>
      </c>
      <c r="B105" s="2" t="s">
        <v>849</v>
      </c>
      <c r="C105" s="2" t="s">
        <v>888</v>
      </c>
      <c r="D105" s="2" t="s">
        <v>885</v>
      </c>
      <c r="E105" s="2" t="n">
        <v>2026</v>
      </c>
      <c r="F105" s="2" t="s">
        <v>889</v>
      </c>
      <c r="G105" s="2" t="s">
        <v>531</v>
      </c>
      <c r="H105" s="2" t="s">
        <v>674</v>
      </c>
      <c r="I105" s="2" t="s">
        <v>482</v>
      </c>
      <c r="J105" s="2"/>
      <c r="K105" s="2" t="s">
        <v>531</v>
      </c>
    </row>
    <row r="106" customFormat="false" ht="23.85" hidden="false" customHeight="false" outlineLevel="0" collapsed="false">
      <c r="A106" s="2" t="s">
        <v>890</v>
      </c>
      <c r="B106" s="2" t="s">
        <v>849</v>
      </c>
      <c r="C106" s="2" t="s">
        <v>333</v>
      </c>
      <c r="D106" s="2" t="s">
        <v>891</v>
      </c>
      <c r="E106" s="2" t="n">
        <v>2026</v>
      </c>
      <c r="F106" s="2" t="s">
        <v>892</v>
      </c>
      <c r="G106" s="2" t="s">
        <v>426</v>
      </c>
      <c r="H106" s="2" t="s">
        <v>893</v>
      </c>
      <c r="I106" s="2" t="s">
        <v>894</v>
      </c>
      <c r="J106" s="2" t="s">
        <v>638</v>
      </c>
      <c r="K106" s="2" t="s">
        <v>434</v>
      </c>
    </row>
    <row r="107" customFormat="false" ht="23.85" hidden="false" customHeight="false" outlineLevel="0" collapsed="false">
      <c r="A107" s="2" t="s">
        <v>895</v>
      </c>
      <c r="B107" s="2" t="s">
        <v>849</v>
      </c>
      <c r="C107" s="2" t="s">
        <v>896</v>
      </c>
      <c r="D107" s="2" t="s">
        <v>897</v>
      </c>
      <c r="E107" s="2" t="n">
        <v>2026</v>
      </c>
      <c r="F107" s="2" t="s">
        <v>898</v>
      </c>
      <c r="G107" s="2" t="s">
        <v>842</v>
      </c>
      <c r="H107" s="2" t="s">
        <v>899</v>
      </c>
      <c r="I107" s="2" t="s">
        <v>637</v>
      </c>
      <c r="J107" s="2"/>
      <c r="K107" s="2" t="s">
        <v>842</v>
      </c>
    </row>
    <row r="108" customFormat="false" ht="23.85" hidden="false" customHeight="false" outlineLevel="0" collapsed="false">
      <c r="A108" s="2" t="s">
        <v>900</v>
      </c>
      <c r="B108" s="2" t="s">
        <v>849</v>
      </c>
      <c r="C108" s="2" t="s">
        <v>901</v>
      </c>
      <c r="D108" s="2" t="s">
        <v>902</v>
      </c>
      <c r="E108" s="2" t="n">
        <v>2023</v>
      </c>
      <c r="F108" s="2" t="s">
        <v>903</v>
      </c>
      <c r="G108" s="2" t="s">
        <v>426</v>
      </c>
      <c r="H108" s="2" t="s">
        <v>904</v>
      </c>
      <c r="I108" s="2" t="s">
        <v>905</v>
      </c>
      <c r="J108" s="2" t="s">
        <v>906</v>
      </c>
      <c r="K108" s="2" t="s">
        <v>428</v>
      </c>
    </row>
    <row r="109" customFormat="false" ht="23.85" hidden="false" customHeight="false" outlineLevel="0" collapsed="false">
      <c r="A109" s="2" t="s">
        <v>907</v>
      </c>
      <c r="B109" s="2" t="s">
        <v>849</v>
      </c>
      <c r="C109" s="2" t="s">
        <v>908</v>
      </c>
      <c r="D109" s="2" t="s">
        <v>909</v>
      </c>
      <c r="E109" s="2" t="n">
        <v>2025</v>
      </c>
      <c r="F109" s="2" t="s">
        <v>910</v>
      </c>
      <c r="G109" s="2" t="s">
        <v>426</v>
      </c>
      <c r="H109" s="2" t="s">
        <v>911</v>
      </c>
      <c r="I109" s="2" t="s">
        <v>226</v>
      </c>
      <c r="J109" s="2"/>
      <c r="K109" s="2" t="s">
        <v>434</v>
      </c>
    </row>
    <row r="110" customFormat="false" ht="23.85" hidden="false" customHeight="false" outlineLevel="0" collapsed="false">
      <c r="A110" s="2" t="s">
        <v>912</v>
      </c>
      <c r="B110" s="2" t="s">
        <v>849</v>
      </c>
      <c r="C110" s="2" t="s">
        <v>913</v>
      </c>
      <c r="D110" s="2" t="s">
        <v>914</v>
      </c>
      <c r="E110" s="2" t="n">
        <v>2025</v>
      </c>
      <c r="F110" s="2" t="s">
        <v>915</v>
      </c>
      <c r="G110" s="2" t="s">
        <v>531</v>
      </c>
      <c r="H110" s="2" t="s">
        <v>916</v>
      </c>
      <c r="I110" s="2" t="s">
        <v>482</v>
      </c>
      <c r="J110" s="2" t="s">
        <v>917</v>
      </c>
      <c r="K110" s="2" t="s">
        <v>531</v>
      </c>
    </row>
    <row r="111" customFormat="false" ht="15" hidden="false" customHeight="false" outlineLevel="0" collapsed="false">
      <c r="A111" s="2" t="s">
        <v>918</v>
      </c>
      <c r="B111" s="2" t="s">
        <v>849</v>
      </c>
      <c r="C111" s="2" t="s">
        <v>919</v>
      </c>
      <c r="D111" s="2" t="s">
        <v>749</v>
      </c>
      <c r="E111" s="2" t="n">
        <v>2026</v>
      </c>
      <c r="F111" s="2" t="s">
        <v>920</v>
      </c>
      <c r="G111" s="2" t="s">
        <v>426</v>
      </c>
      <c r="H111" s="2" t="s">
        <v>921</v>
      </c>
      <c r="I111" s="2" t="s">
        <v>226</v>
      </c>
      <c r="J111" s="2" t="s">
        <v>922</v>
      </c>
      <c r="K111" s="2" t="s">
        <v>434</v>
      </c>
    </row>
    <row r="112" customFormat="false" ht="23.85" hidden="false" customHeight="false" outlineLevel="0" collapsed="false">
      <c r="A112" s="2" t="s">
        <v>923</v>
      </c>
      <c r="B112" s="2" t="s">
        <v>849</v>
      </c>
      <c r="C112" s="2" t="s">
        <v>924</v>
      </c>
      <c r="D112" s="2" t="s">
        <v>925</v>
      </c>
      <c r="E112" s="2" t="n">
        <v>2025</v>
      </c>
      <c r="F112" s="2" t="s">
        <v>926</v>
      </c>
      <c r="G112" s="2" t="s">
        <v>426</v>
      </c>
      <c r="H112" s="2" t="s">
        <v>927</v>
      </c>
      <c r="I112" s="2" t="s">
        <v>905</v>
      </c>
      <c r="J112" s="2"/>
      <c r="K112" s="2" t="s">
        <v>428</v>
      </c>
    </row>
    <row r="113" customFormat="false" ht="23.85" hidden="false" customHeight="false" outlineLevel="0" collapsed="false">
      <c r="A113" s="2" t="s">
        <v>928</v>
      </c>
      <c r="B113" s="2" t="s">
        <v>849</v>
      </c>
      <c r="C113" s="2" t="s">
        <v>929</v>
      </c>
      <c r="D113" s="2" t="s">
        <v>728</v>
      </c>
      <c r="E113" s="2" t="n">
        <v>2026</v>
      </c>
      <c r="F113" s="2" t="s">
        <v>930</v>
      </c>
      <c r="G113" s="2" t="s">
        <v>426</v>
      </c>
      <c r="H113" s="2" t="s">
        <v>931</v>
      </c>
      <c r="I113" s="2" t="s">
        <v>226</v>
      </c>
      <c r="J113" s="2"/>
      <c r="K113" s="2" t="s">
        <v>428</v>
      </c>
    </row>
    <row r="114" customFormat="false" ht="23.85" hidden="false" customHeight="false" outlineLevel="0" collapsed="false">
      <c r="A114" s="2" t="s">
        <v>932</v>
      </c>
      <c r="B114" s="2" t="s">
        <v>849</v>
      </c>
      <c r="C114" s="2" t="s">
        <v>933</v>
      </c>
      <c r="D114" s="2" t="s">
        <v>731</v>
      </c>
      <c r="E114" s="2" t="n">
        <v>2024</v>
      </c>
      <c r="F114" s="2" t="s">
        <v>934</v>
      </c>
      <c r="G114" s="2" t="s">
        <v>531</v>
      </c>
      <c r="H114" s="2" t="s">
        <v>935</v>
      </c>
      <c r="I114" s="2" t="s">
        <v>482</v>
      </c>
      <c r="J114" s="2" t="s">
        <v>445</v>
      </c>
      <c r="K114" s="2" t="s">
        <v>531</v>
      </c>
    </row>
    <row r="115" customFormat="false" ht="23.85" hidden="false" customHeight="false" outlineLevel="0" collapsed="false">
      <c r="A115" s="2" t="s">
        <v>936</v>
      </c>
      <c r="B115" s="2" t="s">
        <v>849</v>
      </c>
      <c r="C115" s="2" t="s">
        <v>937</v>
      </c>
      <c r="D115" s="2" t="s">
        <v>938</v>
      </c>
      <c r="E115" s="2" t="n">
        <v>2023</v>
      </c>
      <c r="F115" s="2" t="s">
        <v>939</v>
      </c>
      <c r="G115" s="2" t="s">
        <v>531</v>
      </c>
      <c r="H115" s="2" t="s">
        <v>916</v>
      </c>
      <c r="I115" s="2" t="s">
        <v>482</v>
      </c>
      <c r="J115" s="2" t="s">
        <v>940</v>
      </c>
      <c r="K115" s="2" t="s">
        <v>531</v>
      </c>
    </row>
    <row r="116" customFormat="false" ht="15" hidden="false" customHeight="false" outlineLevel="0" collapsed="false">
      <c r="A116" s="2" t="s">
        <v>941</v>
      </c>
      <c r="B116" s="2" t="s">
        <v>849</v>
      </c>
      <c r="C116" s="2" t="s">
        <v>942</v>
      </c>
      <c r="D116" s="2" t="s">
        <v>943</v>
      </c>
      <c r="E116" s="2" t="n">
        <v>2023</v>
      </c>
      <c r="F116" s="2" t="s">
        <v>944</v>
      </c>
      <c r="G116" s="2" t="s">
        <v>842</v>
      </c>
      <c r="H116" s="2" t="s">
        <v>945</v>
      </c>
      <c r="I116" s="2" t="s">
        <v>226</v>
      </c>
      <c r="J116" s="2"/>
      <c r="K116" s="2" t="s">
        <v>842</v>
      </c>
    </row>
    <row r="117" customFormat="false" ht="15" hidden="false" customHeight="false" outlineLevel="0" collapsed="false">
      <c r="A117" s="2" t="s">
        <v>946</v>
      </c>
      <c r="B117" s="2" t="s">
        <v>849</v>
      </c>
      <c r="C117" s="2" t="s">
        <v>947</v>
      </c>
      <c r="D117" s="2" t="s">
        <v>622</v>
      </c>
      <c r="E117" s="2" t="n">
        <v>2024</v>
      </c>
      <c r="F117" s="2" t="s">
        <v>948</v>
      </c>
      <c r="G117" s="2" t="s">
        <v>426</v>
      </c>
      <c r="H117" s="2" t="s">
        <v>949</v>
      </c>
      <c r="I117" s="2" t="s">
        <v>235</v>
      </c>
      <c r="J117" s="2"/>
      <c r="K117" s="2" t="s">
        <v>434</v>
      </c>
    </row>
    <row r="118" customFormat="false" ht="23.85" hidden="false" customHeight="false" outlineLevel="0" collapsed="false">
      <c r="A118" s="2" t="s">
        <v>950</v>
      </c>
      <c r="B118" s="2" t="s">
        <v>849</v>
      </c>
      <c r="C118" s="2" t="s">
        <v>951</v>
      </c>
      <c r="D118" s="2" t="s">
        <v>885</v>
      </c>
      <c r="E118" s="2" t="n">
        <v>2026</v>
      </c>
      <c r="F118" s="2" t="s">
        <v>952</v>
      </c>
      <c r="G118" s="2" t="s">
        <v>531</v>
      </c>
      <c r="H118" s="2" t="s">
        <v>883</v>
      </c>
      <c r="I118" s="2" t="s">
        <v>482</v>
      </c>
      <c r="J118" s="2"/>
      <c r="K118" s="2" t="s">
        <v>531</v>
      </c>
    </row>
    <row r="119" customFormat="false" ht="23.85" hidden="false" customHeight="false" outlineLevel="0" collapsed="false">
      <c r="A119" s="2" t="s">
        <v>953</v>
      </c>
      <c r="B119" s="2" t="s">
        <v>849</v>
      </c>
      <c r="C119" s="2" t="s">
        <v>954</v>
      </c>
      <c r="D119" s="2" t="s">
        <v>955</v>
      </c>
      <c r="E119" s="2" t="n">
        <v>2026</v>
      </c>
      <c r="F119" s="2" t="s">
        <v>956</v>
      </c>
      <c r="G119" s="2" t="s">
        <v>426</v>
      </c>
      <c r="H119" s="2" t="s">
        <v>957</v>
      </c>
      <c r="I119" s="2" t="s">
        <v>226</v>
      </c>
      <c r="J119" s="2" t="s">
        <v>958</v>
      </c>
      <c r="K119" s="2" t="s">
        <v>434</v>
      </c>
    </row>
    <row r="120" customFormat="false" ht="23.85" hidden="false" customHeight="false" outlineLevel="0" collapsed="false">
      <c r="A120" s="2" t="s">
        <v>959</v>
      </c>
      <c r="B120" s="2" t="s">
        <v>849</v>
      </c>
      <c r="C120" s="2" t="s">
        <v>960</v>
      </c>
      <c r="D120" s="2" t="s">
        <v>961</v>
      </c>
      <c r="E120" s="2" t="n">
        <v>2025</v>
      </c>
      <c r="F120" s="2" t="s">
        <v>962</v>
      </c>
      <c r="G120" s="2" t="s">
        <v>374</v>
      </c>
      <c r="H120" s="2" t="s">
        <v>963</v>
      </c>
      <c r="I120" s="2" t="s">
        <v>482</v>
      </c>
      <c r="J120" s="2"/>
      <c r="K120" s="2" t="s">
        <v>374</v>
      </c>
    </row>
    <row r="121" customFormat="false" ht="23.85" hidden="false" customHeight="false" outlineLevel="0" collapsed="false">
      <c r="A121" s="2" t="s">
        <v>964</v>
      </c>
      <c r="B121" s="2" t="s">
        <v>849</v>
      </c>
      <c r="C121" s="2" t="s">
        <v>358</v>
      </c>
      <c r="D121" s="2" t="s">
        <v>943</v>
      </c>
      <c r="E121" s="2" t="n">
        <v>2024</v>
      </c>
      <c r="F121" s="2" t="s">
        <v>965</v>
      </c>
      <c r="G121" s="2" t="s">
        <v>426</v>
      </c>
      <c r="H121" s="2" t="s">
        <v>966</v>
      </c>
      <c r="I121" s="2" t="s">
        <v>226</v>
      </c>
      <c r="J121" s="2"/>
      <c r="K121" s="2" t="s">
        <v>434</v>
      </c>
    </row>
    <row r="122" customFormat="false" ht="23.85" hidden="false" customHeight="false" outlineLevel="0" collapsed="false">
      <c r="A122" s="2" t="s">
        <v>967</v>
      </c>
      <c r="B122" s="2" t="s">
        <v>849</v>
      </c>
      <c r="C122" s="2" t="s">
        <v>968</v>
      </c>
      <c r="D122" s="2" t="s">
        <v>925</v>
      </c>
      <c r="E122" s="2" t="n">
        <v>2026</v>
      </c>
      <c r="F122" s="2" t="s">
        <v>969</v>
      </c>
      <c r="G122" s="2" t="s">
        <v>426</v>
      </c>
      <c r="H122" s="2" t="s">
        <v>970</v>
      </c>
      <c r="I122" s="2" t="s">
        <v>240</v>
      </c>
      <c r="J122" s="2"/>
      <c r="K122" s="2" t="s">
        <v>434</v>
      </c>
    </row>
    <row r="123" customFormat="false" ht="23.85" hidden="false" customHeight="false" outlineLevel="0" collapsed="false">
      <c r="A123" s="2" t="s">
        <v>971</v>
      </c>
      <c r="B123" s="2" t="s">
        <v>849</v>
      </c>
      <c r="C123" s="2" t="s">
        <v>972</v>
      </c>
      <c r="D123" s="2" t="s">
        <v>885</v>
      </c>
      <c r="E123" s="2" t="n">
        <v>2026</v>
      </c>
      <c r="F123" s="2" t="s">
        <v>973</v>
      </c>
      <c r="G123" s="2" t="s">
        <v>374</v>
      </c>
      <c r="H123" s="2" t="s">
        <v>475</v>
      </c>
      <c r="I123" s="2" t="s">
        <v>482</v>
      </c>
      <c r="J123" s="2" t="s">
        <v>974</v>
      </c>
      <c r="K123" s="2" t="s">
        <v>374</v>
      </c>
    </row>
    <row r="124" customFormat="false" ht="23.85" hidden="false" customHeight="false" outlineLevel="0" collapsed="false">
      <c r="A124" s="2" t="s">
        <v>975</v>
      </c>
      <c r="B124" s="2" t="s">
        <v>849</v>
      </c>
      <c r="C124" s="2" t="s">
        <v>976</v>
      </c>
      <c r="D124" s="2" t="s">
        <v>885</v>
      </c>
      <c r="E124" s="2" t="n">
        <v>2025</v>
      </c>
      <c r="F124" s="2" t="s">
        <v>977</v>
      </c>
      <c r="G124" s="2" t="s">
        <v>426</v>
      </c>
      <c r="H124" s="2" t="s">
        <v>978</v>
      </c>
      <c r="I124" s="2" t="s">
        <v>226</v>
      </c>
      <c r="J124" s="2"/>
      <c r="K124" s="2" t="s">
        <v>434</v>
      </c>
    </row>
    <row r="125" customFormat="false" ht="23.85" hidden="false" customHeight="false" outlineLevel="0" collapsed="false">
      <c r="A125" s="2" t="s">
        <v>979</v>
      </c>
      <c r="B125" s="2" t="s">
        <v>849</v>
      </c>
      <c r="C125" s="2" t="s">
        <v>980</v>
      </c>
      <c r="D125" s="2" t="s">
        <v>981</v>
      </c>
      <c r="E125" s="2" t="n">
        <v>2022</v>
      </c>
      <c r="F125" s="2" t="s">
        <v>982</v>
      </c>
      <c r="G125" s="2" t="s">
        <v>426</v>
      </c>
      <c r="H125" s="2" t="s">
        <v>453</v>
      </c>
      <c r="I125" s="2" t="s">
        <v>226</v>
      </c>
      <c r="J125" s="2"/>
      <c r="K125" s="2" t="s">
        <v>434</v>
      </c>
    </row>
    <row r="126" customFormat="false" ht="35.05" hidden="false" customHeight="false" outlineLevel="0" collapsed="false">
      <c r="A126" s="2" t="s">
        <v>983</v>
      </c>
      <c r="B126" s="2" t="s">
        <v>849</v>
      </c>
      <c r="C126" s="2" t="s">
        <v>984</v>
      </c>
      <c r="D126" s="2" t="s">
        <v>985</v>
      </c>
      <c r="E126" s="2" t="n">
        <v>2025</v>
      </c>
      <c r="F126" s="2" t="s">
        <v>986</v>
      </c>
      <c r="G126" s="2" t="s">
        <v>531</v>
      </c>
      <c r="H126" s="2" t="s">
        <v>987</v>
      </c>
      <c r="I126" s="2" t="s">
        <v>482</v>
      </c>
      <c r="J126" s="2" t="s">
        <v>445</v>
      </c>
      <c r="K126" s="2" t="s">
        <v>531</v>
      </c>
    </row>
    <row r="127" customFormat="false" ht="23.85" hidden="false" customHeight="false" outlineLevel="0" collapsed="false">
      <c r="A127" s="2" t="s">
        <v>988</v>
      </c>
      <c r="B127" s="2" t="s">
        <v>849</v>
      </c>
      <c r="C127" s="2" t="s">
        <v>702</v>
      </c>
      <c r="D127" s="2" t="s">
        <v>622</v>
      </c>
      <c r="E127" s="2" t="n">
        <v>2025</v>
      </c>
      <c r="F127" s="2" t="s">
        <v>703</v>
      </c>
      <c r="G127" s="2" t="s">
        <v>989</v>
      </c>
      <c r="H127" s="2" t="n">
        <f aca="false">E113</f>
        <v>2026</v>
      </c>
      <c r="I127" s="2" t="s">
        <v>616</v>
      </c>
      <c r="J127" s="2"/>
      <c r="K127" s="2" t="s">
        <v>989</v>
      </c>
    </row>
    <row r="128" customFormat="false" ht="23.85" hidden="false" customHeight="false" outlineLevel="0" collapsed="false">
      <c r="A128" s="2" t="s">
        <v>990</v>
      </c>
      <c r="B128" s="2" t="s">
        <v>849</v>
      </c>
      <c r="C128" s="2" t="s">
        <v>748</v>
      </c>
      <c r="D128" s="2" t="s">
        <v>749</v>
      </c>
      <c r="E128" s="2" t="n">
        <v>2024</v>
      </c>
      <c r="F128" s="2" t="s">
        <v>991</v>
      </c>
      <c r="G128" s="2" t="s">
        <v>989</v>
      </c>
      <c r="H128" s="2" t="n">
        <f aca="false">E161</f>
        <v>2025</v>
      </c>
      <c r="I128" s="2" t="s">
        <v>226</v>
      </c>
      <c r="J128" s="2"/>
      <c r="K128" s="2" t="s">
        <v>989</v>
      </c>
    </row>
    <row r="129" customFormat="false" ht="23.85" hidden="false" customHeight="false" outlineLevel="0" collapsed="false">
      <c r="A129" s="2" t="s">
        <v>992</v>
      </c>
      <c r="B129" s="2" t="s">
        <v>849</v>
      </c>
      <c r="C129" s="2" t="s">
        <v>993</v>
      </c>
      <c r="D129" s="2" t="s">
        <v>622</v>
      </c>
      <c r="E129" s="2" t="n">
        <v>2026</v>
      </c>
      <c r="F129" s="2" t="s">
        <v>994</v>
      </c>
      <c r="G129" s="2" t="s">
        <v>531</v>
      </c>
      <c r="H129" s="2" t="s">
        <v>995</v>
      </c>
      <c r="I129" s="2" t="s">
        <v>482</v>
      </c>
      <c r="J129" s="2" t="s">
        <v>445</v>
      </c>
      <c r="K129" s="2" t="s">
        <v>531</v>
      </c>
    </row>
    <row r="130" customFormat="false" ht="23.85" hidden="false" customHeight="false" outlineLevel="0" collapsed="false">
      <c r="A130" s="2" t="s">
        <v>996</v>
      </c>
      <c r="B130" s="2" t="s">
        <v>849</v>
      </c>
      <c r="C130" s="2" t="s">
        <v>997</v>
      </c>
      <c r="D130" s="2" t="s">
        <v>998</v>
      </c>
      <c r="E130" s="2" t="n">
        <v>2024</v>
      </c>
      <c r="F130" s="2" t="s">
        <v>999</v>
      </c>
      <c r="G130" s="2" t="s">
        <v>842</v>
      </c>
      <c r="H130" s="2" t="s">
        <v>1000</v>
      </c>
      <c r="I130" s="2" t="s">
        <v>235</v>
      </c>
      <c r="J130" s="2"/>
      <c r="K130" s="2" t="s">
        <v>842</v>
      </c>
    </row>
    <row r="131" customFormat="false" ht="23.85" hidden="false" customHeight="false" outlineLevel="0" collapsed="false">
      <c r="A131" s="2" t="s">
        <v>1001</v>
      </c>
      <c r="B131" s="2" t="s">
        <v>849</v>
      </c>
      <c r="C131" s="2" t="s">
        <v>1002</v>
      </c>
      <c r="D131" s="2" t="s">
        <v>1003</v>
      </c>
      <c r="E131" s="2" t="n">
        <v>2025</v>
      </c>
      <c r="F131" s="2" t="s">
        <v>1004</v>
      </c>
      <c r="G131" s="2" t="s">
        <v>426</v>
      </c>
      <c r="H131" s="2" t="s">
        <v>1005</v>
      </c>
      <c r="I131" s="2" t="s">
        <v>1006</v>
      </c>
      <c r="J131" s="2"/>
      <c r="K131" s="2" t="s">
        <v>434</v>
      </c>
    </row>
    <row r="132" customFormat="false" ht="23.85" hidden="false" customHeight="false" outlineLevel="0" collapsed="false">
      <c r="A132" s="2" t="s">
        <v>1007</v>
      </c>
      <c r="B132" s="2" t="s">
        <v>849</v>
      </c>
      <c r="C132" s="2" t="s">
        <v>340</v>
      </c>
      <c r="D132" s="2" t="s">
        <v>1008</v>
      </c>
      <c r="E132" s="2" t="n">
        <v>2024</v>
      </c>
      <c r="F132" s="2" t="s">
        <v>1009</v>
      </c>
      <c r="G132" s="2" t="s">
        <v>842</v>
      </c>
      <c r="H132" s="2" t="s">
        <v>1010</v>
      </c>
      <c r="I132" s="2" t="s">
        <v>226</v>
      </c>
      <c r="J132" s="2"/>
      <c r="K132" s="2" t="s">
        <v>842</v>
      </c>
    </row>
    <row r="133" customFormat="false" ht="23.85" hidden="false" customHeight="false" outlineLevel="0" collapsed="false">
      <c r="A133" s="2" t="s">
        <v>1011</v>
      </c>
      <c r="B133" s="2" t="s">
        <v>849</v>
      </c>
      <c r="C133" s="2" t="s">
        <v>1012</v>
      </c>
      <c r="D133" s="2" t="s">
        <v>1013</v>
      </c>
      <c r="E133" s="2" t="n">
        <v>2026</v>
      </c>
      <c r="F133" s="2" t="s">
        <v>1014</v>
      </c>
      <c r="G133" s="2" t="s">
        <v>531</v>
      </c>
      <c r="H133" s="2" t="s">
        <v>1015</v>
      </c>
      <c r="I133" s="2" t="s">
        <v>482</v>
      </c>
      <c r="J133" s="2" t="s">
        <v>445</v>
      </c>
      <c r="K133" s="2" t="s">
        <v>531</v>
      </c>
    </row>
    <row r="134" customFormat="false" ht="15" hidden="false" customHeight="false" outlineLevel="0" collapsed="false">
      <c r="A134" s="2" t="s">
        <v>1016</v>
      </c>
      <c r="B134" s="2" t="s">
        <v>849</v>
      </c>
      <c r="C134" s="2" t="s">
        <v>1017</v>
      </c>
      <c r="D134" s="2" t="s">
        <v>1018</v>
      </c>
      <c r="E134" s="2" t="n">
        <v>2026</v>
      </c>
      <c r="F134" s="2" t="s">
        <v>1019</v>
      </c>
      <c r="G134" s="2" t="s">
        <v>426</v>
      </c>
      <c r="H134" s="2" t="s">
        <v>1020</v>
      </c>
      <c r="I134" s="2" t="s">
        <v>235</v>
      </c>
      <c r="J134" s="2"/>
      <c r="K134" s="2" t="s">
        <v>434</v>
      </c>
    </row>
    <row r="135" customFormat="false" ht="23.85" hidden="false" customHeight="false" outlineLevel="0" collapsed="false">
      <c r="A135" s="2" t="s">
        <v>1021</v>
      </c>
      <c r="B135" s="2" t="s">
        <v>849</v>
      </c>
      <c r="C135" s="2" t="s">
        <v>1022</v>
      </c>
      <c r="D135" s="2" t="s">
        <v>869</v>
      </c>
      <c r="E135" s="2" t="n">
        <v>2026</v>
      </c>
      <c r="F135" s="2" t="s">
        <v>1023</v>
      </c>
      <c r="G135" s="2" t="s">
        <v>531</v>
      </c>
      <c r="H135" s="2" t="s">
        <v>1024</v>
      </c>
      <c r="I135" s="2" t="s">
        <v>482</v>
      </c>
      <c r="J135" s="2" t="s">
        <v>445</v>
      </c>
      <c r="K135" s="2" t="s">
        <v>531</v>
      </c>
    </row>
    <row r="136" customFormat="false" ht="23.85" hidden="false" customHeight="false" outlineLevel="0" collapsed="false">
      <c r="A136" s="2" t="s">
        <v>1025</v>
      </c>
      <c r="B136" s="2" t="s">
        <v>849</v>
      </c>
      <c r="C136" s="2" t="s">
        <v>347</v>
      </c>
      <c r="D136" s="2" t="s">
        <v>567</v>
      </c>
      <c r="E136" s="2" t="n">
        <v>2026</v>
      </c>
      <c r="F136" s="2" t="s">
        <v>1026</v>
      </c>
      <c r="G136" s="2" t="s">
        <v>426</v>
      </c>
      <c r="H136" s="2" t="s">
        <v>1027</v>
      </c>
      <c r="I136" s="2" t="s">
        <v>1028</v>
      </c>
      <c r="J136" s="2" t="s">
        <v>1029</v>
      </c>
      <c r="K136" s="2" t="s">
        <v>434</v>
      </c>
    </row>
    <row r="137" customFormat="false" ht="23.85" hidden="false" customHeight="false" outlineLevel="0" collapsed="false">
      <c r="A137" s="2" t="s">
        <v>1030</v>
      </c>
      <c r="B137" s="2" t="s">
        <v>849</v>
      </c>
      <c r="C137" s="2" t="s">
        <v>1031</v>
      </c>
      <c r="D137" s="2" t="s">
        <v>749</v>
      </c>
      <c r="E137" s="2" t="n">
        <v>2026</v>
      </c>
      <c r="F137" s="2" t="s">
        <v>1032</v>
      </c>
      <c r="G137" s="2" t="s">
        <v>426</v>
      </c>
      <c r="H137" s="2" t="s">
        <v>1033</v>
      </c>
      <c r="I137" s="2" t="s">
        <v>1034</v>
      </c>
      <c r="J137" s="2" t="s">
        <v>958</v>
      </c>
      <c r="K137" s="2" t="s">
        <v>434</v>
      </c>
    </row>
    <row r="138" customFormat="false" ht="23.85" hidden="false" customHeight="false" outlineLevel="0" collapsed="false">
      <c r="A138" s="2" t="s">
        <v>1035</v>
      </c>
      <c r="B138" s="2" t="s">
        <v>849</v>
      </c>
      <c r="C138" s="2" t="s">
        <v>1036</v>
      </c>
      <c r="D138" s="2" t="s">
        <v>925</v>
      </c>
      <c r="E138" s="2" t="n">
        <v>2025</v>
      </c>
      <c r="F138" s="2" t="s">
        <v>1037</v>
      </c>
      <c r="G138" s="2" t="s">
        <v>426</v>
      </c>
      <c r="H138" s="2" t="s">
        <v>1038</v>
      </c>
      <c r="I138" s="2" t="s">
        <v>226</v>
      </c>
      <c r="J138" s="2"/>
      <c r="K138" s="2" t="s">
        <v>428</v>
      </c>
    </row>
    <row r="139" customFormat="false" ht="23.85" hidden="false" customHeight="false" outlineLevel="0" collapsed="false">
      <c r="A139" s="2" t="s">
        <v>1039</v>
      </c>
      <c r="B139" s="2" t="s">
        <v>849</v>
      </c>
      <c r="C139" s="2" t="s">
        <v>232</v>
      </c>
      <c r="D139" s="2" t="s">
        <v>622</v>
      </c>
      <c r="E139" s="2" t="n">
        <v>2025</v>
      </c>
      <c r="F139" s="2" t="s">
        <v>781</v>
      </c>
      <c r="G139" s="2" t="s">
        <v>989</v>
      </c>
      <c r="H139" s="2" t="n">
        <f aca="false">E239</f>
        <v>0</v>
      </c>
      <c r="I139" s="2" t="s">
        <v>235</v>
      </c>
      <c r="J139" s="2"/>
      <c r="K139" s="2" t="s">
        <v>989</v>
      </c>
    </row>
    <row r="140" customFormat="false" ht="23.85" hidden="false" customHeight="false" outlineLevel="0" collapsed="false">
      <c r="A140" s="2" t="s">
        <v>1040</v>
      </c>
      <c r="B140" s="2" t="s">
        <v>849</v>
      </c>
      <c r="C140" s="2" t="s">
        <v>1041</v>
      </c>
      <c r="D140" s="2" t="s">
        <v>1008</v>
      </c>
      <c r="E140" s="2" t="n">
        <v>2023</v>
      </c>
      <c r="F140" s="2" t="s">
        <v>1042</v>
      </c>
      <c r="G140" s="2" t="s">
        <v>531</v>
      </c>
      <c r="H140" s="2" t="s">
        <v>532</v>
      </c>
      <c r="I140" s="2" t="s">
        <v>482</v>
      </c>
      <c r="J140" s="2"/>
      <c r="K140" s="2" t="s">
        <v>531</v>
      </c>
    </row>
    <row r="141" customFormat="false" ht="23.85" hidden="false" customHeight="false" outlineLevel="0" collapsed="false">
      <c r="A141" s="2" t="s">
        <v>1043</v>
      </c>
      <c r="B141" s="2" t="s">
        <v>849</v>
      </c>
      <c r="C141" s="2" t="s">
        <v>1044</v>
      </c>
      <c r="D141" s="2" t="s">
        <v>885</v>
      </c>
      <c r="E141" s="2" t="n">
        <v>2025</v>
      </c>
      <c r="F141" s="2" t="s">
        <v>1045</v>
      </c>
      <c r="G141" s="2" t="s">
        <v>842</v>
      </c>
      <c r="H141" s="2" t="s">
        <v>1046</v>
      </c>
      <c r="I141" s="2" t="s">
        <v>226</v>
      </c>
      <c r="J141" s="2"/>
      <c r="K141" s="2" t="s">
        <v>842</v>
      </c>
    </row>
    <row r="142" customFormat="false" ht="15" hidden="false" customHeight="false" outlineLevel="0" collapsed="false">
      <c r="A142" s="2" t="s">
        <v>1047</v>
      </c>
      <c r="B142" s="2" t="s">
        <v>849</v>
      </c>
      <c r="C142" s="2" t="s">
        <v>1048</v>
      </c>
      <c r="D142" s="2" t="s">
        <v>622</v>
      </c>
      <c r="E142" s="2" t="n">
        <v>2024</v>
      </c>
      <c r="F142" s="2" t="s">
        <v>623</v>
      </c>
      <c r="G142" s="2" t="s">
        <v>989</v>
      </c>
      <c r="H142" s="2" t="n">
        <f aca="false">E64</f>
        <v>2025</v>
      </c>
      <c r="I142" s="2" t="s">
        <v>226</v>
      </c>
      <c r="J142" s="2"/>
      <c r="K142" s="2" t="s">
        <v>989</v>
      </c>
    </row>
    <row r="143" customFormat="false" ht="15" hidden="false" customHeight="false" outlineLevel="0" collapsed="false">
      <c r="A143" s="2" t="s">
        <v>1049</v>
      </c>
      <c r="B143" s="2" t="s">
        <v>849</v>
      </c>
      <c r="C143" s="2" t="s">
        <v>1050</v>
      </c>
      <c r="D143" s="2" t="s">
        <v>1051</v>
      </c>
      <c r="E143" s="2" t="n">
        <v>2025</v>
      </c>
      <c r="F143" s="2" t="s">
        <v>1052</v>
      </c>
      <c r="G143" s="2" t="s">
        <v>842</v>
      </c>
      <c r="H143" s="2" t="s">
        <v>1053</v>
      </c>
      <c r="I143" s="2" t="s">
        <v>226</v>
      </c>
      <c r="J143" s="2"/>
      <c r="K143" s="2" t="s">
        <v>842</v>
      </c>
    </row>
    <row r="144" customFormat="false" ht="23.85" hidden="false" customHeight="false" outlineLevel="0" collapsed="false">
      <c r="A144" s="2" t="s">
        <v>1054</v>
      </c>
      <c r="B144" s="2" t="s">
        <v>849</v>
      </c>
      <c r="C144" s="2" t="s">
        <v>1055</v>
      </c>
      <c r="D144" s="2" t="s">
        <v>885</v>
      </c>
      <c r="E144" s="2" t="n">
        <v>2025</v>
      </c>
      <c r="F144" s="2" t="s">
        <v>1056</v>
      </c>
      <c r="G144" s="2" t="s">
        <v>531</v>
      </c>
      <c r="H144" s="2" t="s">
        <v>1057</v>
      </c>
      <c r="I144" s="2" t="s">
        <v>482</v>
      </c>
      <c r="J144" s="2"/>
      <c r="K144" s="2" t="s">
        <v>531</v>
      </c>
    </row>
    <row r="145" customFormat="false" ht="23.85" hidden="false" customHeight="false" outlineLevel="0" collapsed="false">
      <c r="A145" s="2" t="s">
        <v>1058</v>
      </c>
      <c r="B145" s="2" t="s">
        <v>849</v>
      </c>
      <c r="C145" s="2" t="s">
        <v>1059</v>
      </c>
      <c r="D145" s="2" t="s">
        <v>1060</v>
      </c>
      <c r="E145" s="2" t="n">
        <v>2022</v>
      </c>
      <c r="F145" s="2" t="s">
        <v>1061</v>
      </c>
      <c r="G145" s="2" t="s">
        <v>531</v>
      </c>
      <c r="H145" s="2" t="s">
        <v>883</v>
      </c>
      <c r="I145" s="2" t="s">
        <v>482</v>
      </c>
      <c r="J145" s="2" t="s">
        <v>445</v>
      </c>
      <c r="K145" s="2" t="s">
        <v>531</v>
      </c>
    </row>
    <row r="146" customFormat="false" ht="23.85" hidden="false" customHeight="false" outlineLevel="0" collapsed="false">
      <c r="A146" s="2" t="s">
        <v>1062</v>
      </c>
      <c r="B146" s="2" t="s">
        <v>849</v>
      </c>
      <c r="C146" s="2" t="s">
        <v>1063</v>
      </c>
      <c r="D146" s="2" t="s">
        <v>749</v>
      </c>
      <c r="E146" s="2" t="n">
        <v>2026</v>
      </c>
      <c r="F146" s="2" t="s">
        <v>1064</v>
      </c>
      <c r="G146" s="2" t="s">
        <v>426</v>
      </c>
      <c r="H146" s="2" t="s">
        <v>1065</v>
      </c>
      <c r="I146" s="2" t="s">
        <v>794</v>
      </c>
      <c r="J146" s="2" t="s">
        <v>638</v>
      </c>
      <c r="K146" s="2" t="s">
        <v>434</v>
      </c>
    </row>
    <row r="147" customFormat="false" ht="23.85" hidden="false" customHeight="false" outlineLevel="0" collapsed="false">
      <c r="A147" s="2" t="s">
        <v>1066</v>
      </c>
      <c r="B147" s="2" t="s">
        <v>849</v>
      </c>
      <c r="C147" s="2" t="s">
        <v>351</v>
      </c>
      <c r="D147" s="2" t="s">
        <v>925</v>
      </c>
      <c r="E147" s="2" t="n">
        <v>2025</v>
      </c>
      <c r="F147" s="2" t="s">
        <v>1067</v>
      </c>
      <c r="G147" s="2" t="s">
        <v>426</v>
      </c>
      <c r="H147" s="2" t="s">
        <v>1068</v>
      </c>
      <c r="I147" s="2" t="s">
        <v>226</v>
      </c>
      <c r="J147" s="2"/>
      <c r="K147" s="2" t="s">
        <v>428</v>
      </c>
    </row>
    <row r="148" customFormat="false" ht="15" hidden="false" customHeight="false" outlineLevel="0" collapsed="false">
      <c r="A148" s="2" t="s">
        <v>1069</v>
      </c>
      <c r="B148" s="2" t="s">
        <v>849</v>
      </c>
      <c r="C148" s="2" t="s">
        <v>344</v>
      </c>
      <c r="D148" s="2" t="s">
        <v>1070</v>
      </c>
      <c r="E148" s="2" t="n">
        <v>2025</v>
      </c>
      <c r="F148" s="2" t="s">
        <v>1071</v>
      </c>
      <c r="G148" s="2" t="s">
        <v>426</v>
      </c>
      <c r="H148" s="2" t="s">
        <v>1072</v>
      </c>
      <c r="I148" s="2" t="s">
        <v>1073</v>
      </c>
      <c r="J148" s="2"/>
      <c r="K148" s="2" t="s">
        <v>434</v>
      </c>
    </row>
    <row r="149" customFormat="false" ht="23.85" hidden="false" customHeight="false" outlineLevel="0" collapsed="false">
      <c r="A149" s="2" t="s">
        <v>1074</v>
      </c>
      <c r="B149" s="2" t="s">
        <v>849</v>
      </c>
      <c r="C149" s="2" t="s">
        <v>1075</v>
      </c>
      <c r="D149" s="2" t="s">
        <v>622</v>
      </c>
      <c r="E149" s="2" t="n">
        <v>2025</v>
      </c>
      <c r="F149" s="2" t="s">
        <v>1076</v>
      </c>
      <c r="G149" s="2" t="s">
        <v>531</v>
      </c>
      <c r="H149" s="2" t="s">
        <v>674</v>
      </c>
      <c r="I149" s="2" t="s">
        <v>482</v>
      </c>
      <c r="J149" s="2" t="s">
        <v>1077</v>
      </c>
      <c r="K149" s="2" t="s">
        <v>531</v>
      </c>
    </row>
    <row r="150" customFormat="false" ht="23.85" hidden="false" customHeight="false" outlineLevel="0" collapsed="false">
      <c r="A150" s="2" t="s">
        <v>1078</v>
      </c>
      <c r="B150" s="2" t="s">
        <v>849</v>
      </c>
      <c r="C150" s="2" t="s">
        <v>361</v>
      </c>
      <c r="D150" s="2" t="s">
        <v>860</v>
      </c>
      <c r="E150" s="2" t="n">
        <v>2025</v>
      </c>
      <c r="F150" s="2" t="s">
        <v>1079</v>
      </c>
      <c r="G150" s="2" t="s">
        <v>426</v>
      </c>
      <c r="H150" s="2" t="s">
        <v>1080</v>
      </c>
      <c r="I150" s="2" t="s">
        <v>226</v>
      </c>
      <c r="J150" s="2"/>
      <c r="K150" s="2" t="s">
        <v>428</v>
      </c>
    </row>
    <row r="151" customFormat="false" ht="15" hidden="false" customHeight="false" outlineLevel="0" collapsed="false">
      <c r="A151" s="2" t="s">
        <v>1081</v>
      </c>
      <c r="B151" s="2" t="s">
        <v>849</v>
      </c>
      <c r="C151" s="2" t="s">
        <v>314</v>
      </c>
      <c r="D151" s="2" t="s">
        <v>693</v>
      </c>
      <c r="E151" s="2" t="n">
        <v>2024</v>
      </c>
      <c r="F151" s="2" t="s">
        <v>808</v>
      </c>
      <c r="G151" s="2" t="s">
        <v>989</v>
      </c>
      <c r="H151" s="2" t="n">
        <f aca="false">E309</f>
        <v>0</v>
      </c>
      <c r="I151" s="2" t="s">
        <v>226</v>
      </c>
      <c r="J151" s="2"/>
      <c r="K151" s="2" t="s">
        <v>989</v>
      </c>
    </row>
    <row r="152" customFormat="false" ht="23.85" hidden="false" customHeight="false" outlineLevel="0" collapsed="false">
      <c r="A152" s="2" t="s">
        <v>1082</v>
      </c>
      <c r="B152" s="2" t="s">
        <v>849</v>
      </c>
      <c r="C152" s="2" t="s">
        <v>1083</v>
      </c>
      <c r="D152" s="2" t="s">
        <v>1084</v>
      </c>
      <c r="E152" s="2" t="n">
        <v>2026</v>
      </c>
      <c r="F152" s="2" t="s">
        <v>1085</v>
      </c>
      <c r="G152" s="2" t="s">
        <v>426</v>
      </c>
      <c r="H152" s="2" t="s">
        <v>1086</v>
      </c>
      <c r="I152" s="2" t="s">
        <v>1073</v>
      </c>
      <c r="J152" s="2" t="s">
        <v>445</v>
      </c>
      <c r="K152" s="2" t="s">
        <v>434</v>
      </c>
    </row>
    <row r="153" customFormat="false" ht="15" hidden="false" customHeight="false" outlineLevel="0" collapsed="false">
      <c r="A153" s="2" t="s">
        <v>1087</v>
      </c>
      <c r="B153" s="2" t="s">
        <v>849</v>
      </c>
      <c r="C153" s="2" t="s">
        <v>365</v>
      </c>
      <c r="D153" s="2" t="s">
        <v>567</v>
      </c>
      <c r="E153" s="2" t="n">
        <v>2026</v>
      </c>
      <c r="F153" s="2" t="s">
        <v>1088</v>
      </c>
      <c r="G153" s="2" t="s">
        <v>531</v>
      </c>
      <c r="H153" s="2" t="s">
        <v>1089</v>
      </c>
      <c r="I153" s="2" t="s">
        <v>482</v>
      </c>
      <c r="J153" s="2" t="s">
        <v>445</v>
      </c>
      <c r="K153" s="2" t="s">
        <v>531</v>
      </c>
    </row>
    <row r="154" customFormat="false" ht="23.85" hidden="false" customHeight="false" outlineLevel="0" collapsed="false">
      <c r="A154" s="2" t="s">
        <v>1090</v>
      </c>
      <c r="B154" s="2" t="s">
        <v>1091</v>
      </c>
      <c r="C154" s="2" t="s">
        <v>1092</v>
      </c>
      <c r="D154" s="2" t="s">
        <v>885</v>
      </c>
      <c r="E154" s="2" t="n">
        <v>2026</v>
      </c>
      <c r="F154" s="2" t="s">
        <v>1093</v>
      </c>
      <c r="G154" s="2" t="s">
        <v>426</v>
      </c>
      <c r="H154" s="2" t="s">
        <v>1094</v>
      </c>
      <c r="I154" s="2" t="s">
        <v>240</v>
      </c>
      <c r="J154" s="2"/>
      <c r="K154" s="2" t="s">
        <v>434</v>
      </c>
    </row>
    <row r="155" customFormat="false" ht="23.85" hidden="false" customHeight="false" outlineLevel="0" collapsed="false">
      <c r="A155" s="2" t="s">
        <v>1095</v>
      </c>
      <c r="B155" s="2" t="s">
        <v>1091</v>
      </c>
      <c r="C155" s="2" t="s">
        <v>1096</v>
      </c>
      <c r="D155" s="2" t="s">
        <v>622</v>
      </c>
      <c r="E155" s="2" t="n">
        <v>2025</v>
      </c>
      <c r="F155" s="2" t="s">
        <v>1097</v>
      </c>
      <c r="G155" s="2" t="s">
        <v>426</v>
      </c>
      <c r="H155" s="2" t="s">
        <v>1098</v>
      </c>
      <c r="I155" s="2" t="s">
        <v>240</v>
      </c>
      <c r="J155" s="2" t="s">
        <v>1099</v>
      </c>
      <c r="K155" s="2" t="s">
        <v>434</v>
      </c>
    </row>
    <row r="156" customFormat="false" ht="23.85" hidden="false" customHeight="false" outlineLevel="0" collapsed="false">
      <c r="A156" s="2" t="s">
        <v>1100</v>
      </c>
      <c r="B156" s="2" t="s">
        <v>1091</v>
      </c>
      <c r="C156" s="2" t="s">
        <v>1101</v>
      </c>
      <c r="D156" s="2" t="s">
        <v>622</v>
      </c>
      <c r="E156" s="2" t="n">
        <v>2026</v>
      </c>
      <c r="F156" s="2" t="s">
        <v>1102</v>
      </c>
      <c r="G156" s="2" t="s">
        <v>426</v>
      </c>
      <c r="H156" s="2" t="s">
        <v>1103</v>
      </c>
      <c r="I156" s="2" t="s">
        <v>235</v>
      </c>
      <c r="J156" s="2"/>
      <c r="K156" s="2" t="s">
        <v>434</v>
      </c>
    </row>
    <row r="157" customFormat="false" ht="23.85" hidden="false" customHeight="false" outlineLevel="0" collapsed="false">
      <c r="A157" s="2" t="s">
        <v>1104</v>
      </c>
      <c r="B157" s="2" t="s">
        <v>1091</v>
      </c>
      <c r="C157" s="2" t="s">
        <v>1105</v>
      </c>
      <c r="D157" s="2" t="s">
        <v>1106</v>
      </c>
      <c r="E157" s="2" t="n">
        <v>2026</v>
      </c>
      <c r="F157" s="2" t="s">
        <v>1107</v>
      </c>
      <c r="G157" s="2" t="s">
        <v>531</v>
      </c>
      <c r="H157" s="2" t="s">
        <v>1108</v>
      </c>
      <c r="I157" s="2" t="s">
        <v>482</v>
      </c>
      <c r="J157" s="2"/>
      <c r="K157" s="2" t="s">
        <v>531</v>
      </c>
    </row>
    <row r="158" customFormat="false" ht="23.85" hidden="false" customHeight="false" outlineLevel="0" collapsed="false">
      <c r="A158" s="2" t="s">
        <v>1109</v>
      </c>
      <c r="B158" s="2" t="s">
        <v>1110</v>
      </c>
      <c r="C158" s="2" t="s">
        <v>1111</v>
      </c>
      <c r="D158" s="2" t="s">
        <v>507</v>
      </c>
      <c r="E158" s="2" t="n">
        <v>2026</v>
      </c>
      <c r="F158" s="2" t="s">
        <v>1112</v>
      </c>
      <c r="G158" s="2" t="s">
        <v>531</v>
      </c>
      <c r="H158" s="2" t="s">
        <v>1113</v>
      </c>
      <c r="I158" s="2" t="s">
        <v>482</v>
      </c>
      <c r="J158" s="2"/>
      <c r="K158" s="2" t="s">
        <v>531</v>
      </c>
    </row>
    <row r="159" customFormat="false" ht="23.85" hidden="false" customHeight="false" outlineLevel="0" collapsed="false">
      <c r="A159" s="2" t="s">
        <v>1114</v>
      </c>
      <c r="B159" s="2" t="s">
        <v>1110</v>
      </c>
      <c r="C159" s="2" t="s">
        <v>1115</v>
      </c>
      <c r="D159" s="2" t="s">
        <v>507</v>
      </c>
      <c r="E159" s="2" t="n">
        <v>2026</v>
      </c>
      <c r="F159" s="2" t="s">
        <v>1116</v>
      </c>
      <c r="G159" s="2" t="s">
        <v>426</v>
      </c>
      <c r="H159" s="2" t="s">
        <v>1117</v>
      </c>
      <c r="I159" s="2" t="s">
        <v>240</v>
      </c>
      <c r="J159" s="2"/>
      <c r="K159" s="2" t="s">
        <v>434</v>
      </c>
    </row>
    <row r="160" customFormat="false" ht="23.85" hidden="false" customHeight="false" outlineLevel="0" collapsed="false">
      <c r="A160" s="2" t="s">
        <v>1118</v>
      </c>
      <c r="B160" s="2" t="s">
        <v>1110</v>
      </c>
      <c r="C160" s="2" t="s">
        <v>1119</v>
      </c>
      <c r="D160" s="2" t="s">
        <v>536</v>
      </c>
      <c r="E160" s="2" t="n">
        <v>2023</v>
      </c>
      <c r="F160" s="2" t="s">
        <v>1120</v>
      </c>
      <c r="G160" s="2" t="s">
        <v>426</v>
      </c>
      <c r="H160" s="2" t="s">
        <v>1121</v>
      </c>
      <c r="I160" s="2" t="s">
        <v>226</v>
      </c>
      <c r="J160" s="2"/>
      <c r="K160" s="2" t="s">
        <v>428</v>
      </c>
    </row>
    <row r="161" customFormat="false" ht="23.85" hidden="false" customHeight="false" outlineLevel="0" collapsed="false">
      <c r="A161" s="2" t="s">
        <v>1122</v>
      </c>
      <c r="B161" s="2" t="s">
        <v>1110</v>
      </c>
      <c r="C161" s="2" t="s">
        <v>1123</v>
      </c>
      <c r="D161" s="2" t="s">
        <v>567</v>
      </c>
      <c r="E161" s="2" t="n">
        <v>2025</v>
      </c>
      <c r="F161" s="2" t="s">
        <v>1124</v>
      </c>
      <c r="G161" s="2" t="s">
        <v>426</v>
      </c>
      <c r="H161" s="2" t="s">
        <v>1125</v>
      </c>
      <c r="I161" s="2" t="s">
        <v>235</v>
      </c>
      <c r="J161" s="2"/>
      <c r="K161" s="2" t="s">
        <v>434</v>
      </c>
    </row>
    <row r="162" customFormat="false" ht="15" hidden="false" customHeight="false" outlineLevel="0" collapsed="false">
      <c r="A162" s="2" t="s">
        <v>1126</v>
      </c>
      <c r="B162" s="2" t="s">
        <v>1110</v>
      </c>
      <c r="C162" s="2" t="s">
        <v>1127</v>
      </c>
      <c r="D162" s="2" t="s">
        <v>622</v>
      </c>
      <c r="E162" s="2" t="n">
        <v>2025</v>
      </c>
      <c r="F162" s="2" t="s">
        <v>1097</v>
      </c>
      <c r="G162" s="2" t="s">
        <v>989</v>
      </c>
      <c r="H162" s="2" t="n">
        <f aca="false">N6</f>
        <v>0</v>
      </c>
      <c r="I162" s="2" t="s">
        <v>240</v>
      </c>
      <c r="J162" s="2"/>
      <c r="K162" s="2" t="s">
        <v>989</v>
      </c>
    </row>
    <row r="163" customFormat="false" ht="23.85" hidden="false" customHeight="false" outlineLevel="0" collapsed="false">
      <c r="A163" s="2" t="s">
        <v>1128</v>
      </c>
      <c r="B163" s="2" t="s">
        <v>1110</v>
      </c>
      <c r="C163" s="2" t="s">
        <v>1129</v>
      </c>
      <c r="D163" s="2" t="s">
        <v>507</v>
      </c>
      <c r="E163" s="2" t="n">
        <v>2026</v>
      </c>
      <c r="F163" s="2" t="s">
        <v>1130</v>
      </c>
      <c r="G163" s="2" t="s">
        <v>531</v>
      </c>
      <c r="H163" s="2" t="s">
        <v>1131</v>
      </c>
      <c r="I163" s="2" t="s">
        <v>240</v>
      </c>
      <c r="J163" s="2"/>
      <c r="K163" s="2" t="s">
        <v>531</v>
      </c>
    </row>
    <row r="164" customFormat="false" ht="23.85" hidden="false" customHeight="false" outlineLevel="0" collapsed="false">
      <c r="A164" s="2" t="s">
        <v>1132</v>
      </c>
      <c r="B164" s="2" t="s">
        <v>1110</v>
      </c>
      <c r="C164" s="2" t="s">
        <v>1133</v>
      </c>
      <c r="D164" s="2" t="s">
        <v>507</v>
      </c>
      <c r="E164" s="2" t="n">
        <v>2024</v>
      </c>
      <c r="F164" s="2" t="s">
        <v>1134</v>
      </c>
      <c r="G164" s="2" t="s">
        <v>531</v>
      </c>
      <c r="H164" s="2" t="s">
        <v>883</v>
      </c>
      <c r="I164" s="2" t="s">
        <v>482</v>
      </c>
      <c r="J164" s="2"/>
      <c r="K164" s="2" t="s">
        <v>531</v>
      </c>
    </row>
    <row r="165" customFormat="false" ht="23.85" hidden="false" customHeight="false" outlineLevel="0" collapsed="false">
      <c r="A165" s="2" t="s">
        <v>1135</v>
      </c>
      <c r="B165" s="2" t="s">
        <v>1110</v>
      </c>
      <c r="C165" s="2" t="s">
        <v>1136</v>
      </c>
      <c r="D165" s="2" t="s">
        <v>1137</v>
      </c>
      <c r="E165" s="2" t="n">
        <v>2026</v>
      </c>
      <c r="F165" s="2" t="s">
        <v>1138</v>
      </c>
      <c r="G165" s="2" t="s">
        <v>531</v>
      </c>
      <c r="H165" s="2" t="s">
        <v>674</v>
      </c>
      <c r="I165" s="2" t="s">
        <v>482</v>
      </c>
      <c r="J165" s="2"/>
      <c r="K165" s="2" t="s">
        <v>531</v>
      </c>
    </row>
    <row r="166" customFormat="false" ht="23.85" hidden="false" customHeight="false" outlineLevel="0" collapsed="false">
      <c r="A166" s="2" t="s">
        <v>1139</v>
      </c>
      <c r="B166" s="2" t="s">
        <v>1110</v>
      </c>
      <c r="C166" s="2" t="s">
        <v>1140</v>
      </c>
      <c r="D166" s="2" t="s">
        <v>728</v>
      </c>
      <c r="E166" s="2" t="n">
        <v>2025</v>
      </c>
      <c r="F166" s="2" t="s">
        <v>1141</v>
      </c>
      <c r="G166" s="2" t="s">
        <v>426</v>
      </c>
      <c r="H166" s="2" t="s">
        <v>1142</v>
      </c>
      <c r="I166" s="2" t="s">
        <v>235</v>
      </c>
      <c r="J166" s="2"/>
      <c r="K166" s="2" t="s">
        <v>434</v>
      </c>
    </row>
    <row r="167" customFormat="false" ht="15" hidden="false" customHeight="false" outlineLevel="0" collapsed="false">
      <c r="A167" s="2"/>
      <c r="B167" s="2"/>
      <c r="C167" s="2"/>
      <c r="D167" s="2"/>
      <c r="E167" s="2"/>
      <c r="F167" s="2"/>
      <c r="G167" s="2"/>
      <c r="H167" s="2"/>
      <c r="I167" s="2"/>
      <c r="J167" s="2"/>
      <c r="K167" s="2"/>
    </row>
    <row r="168" customFormat="false" ht="15" hidden="false" customHeight="false" outlineLevel="0" collapsed="false">
      <c r="A168" s="2"/>
      <c r="B168" s="2"/>
      <c r="C168" s="2"/>
      <c r="D168" s="2"/>
      <c r="E168" s="2"/>
      <c r="F168" s="4" t="s">
        <v>426</v>
      </c>
      <c r="G168" s="2" t="n">
        <f aca="false">COUNTIF(G2:G166,F168)</f>
        <v>108</v>
      </c>
      <c r="H168" s="2"/>
      <c r="I168" s="2"/>
      <c r="J168" s="4" t="s">
        <v>434</v>
      </c>
      <c r="K168" s="2" t="n">
        <f aca="false">COUNTIF(K2:K166,J168)</f>
        <v>58</v>
      </c>
    </row>
    <row r="169" customFormat="false" ht="26.85" hidden="false" customHeight="false" outlineLevel="0" collapsed="false">
      <c r="A169" s="2"/>
      <c r="B169" s="2"/>
      <c r="C169" s="2"/>
      <c r="D169" s="2"/>
      <c r="E169" s="2"/>
      <c r="F169" s="4" t="s">
        <v>842</v>
      </c>
      <c r="G169" s="2" t="n">
        <f aca="false">COUNTIF(G2:G166,F169)</f>
        <v>8</v>
      </c>
      <c r="H169" s="2"/>
      <c r="I169" s="2"/>
      <c r="J169" s="4" t="s">
        <v>428</v>
      </c>
      <c r="K169" s="2" t="n">
        <f aca="false">COUNTIF(K2:K166,J169)</f>
        <v>50</v>
      </c>
    </row>
    <row r="170" customFormat="false" ht="26.85" hidden="false" customHeight="false" outlineLevel="0" collapsed="false">
      <c r="A170" s="2"/>
      <c r="B170" s="2"/>
      <c r="C170" s="2"/>
      <c r="D170" s="2"/>
      <c r="E170" s="2"/>
      <c r="F170" s="4" t="s">
        <v>374</v>
      </c>
      <c r="G170" s="2" t="n">
        <f aca="false">COUNTIF(G2:G166,F170)</f>
        <v>9</v>
      </c>
      <c r="H170" s="2"/>
      <c r="I170" s="2"/>
      <c r="J170" s="2"/>
      <c r="K170" s="2"/>
    </row>
    <row r="171" customFormat="false" ht="15" hidden="false" customHeight="false" outlineLevel="0" collapsed="false">
      <c r="A171" s="2"/>
      <c r="B171" s="2"/>
      <c r="C171" s="2"/>
      <c r="D171" s="2"/>
      <c r="E171" s="2"/>
      <c r="F171" s="4" t="s">
        <v>989</v>
      </c>
      <c r="G171" s="2" t="n">
        <f aca="false">COUNTIF(G2:G166,F171)</f>
        <v>6</v>
      </c>
      <c r="H171" s="2"/>
      <c r="I171" s="2"/>
      <c r="J171" s="2"/>
      <c r="K171" s="2"/>
    </row>
    <row r="172" customFormat="false" ht="15" hidden="false" customHeight="false" outlineLevel="0" collapsed="false">
      <c r="A172" s="2"/>
      <c r="B172" s="2"/>
      <c r="C172" s="2"/>
      <c r="D172" s="2"/>
      <c r="E172" s="2"/>
      <c r="F172" s="4" t="s">
        <v>531</v>
      </c>
      <c r="G172" s="2" t="n">
        <f aca="false">COUNTIF(G2:G166,F172)</f>
        <v>34</v>
      </c>
      <c r="H172" s="2"/>
      <c r="I172" s="2"/>
      <c r="J172" s="2"/>
      <c r="K172" s="2"/>
    </row>
    <row r="173" customFormat="false" ht="26.85" hidden="false" customHeight="false" outlineLevel="0" collapsed="false">
      <c r="A173" s="2"/>
      <c r="B173" s="2"/>
      <c r="C173" s="2"/>
      <c r="D173" s="2"/>
      <c r="E173" s="2"/>
      <c r="F173" s="4" t="s">
        <v>1143</v>
      </c>
      <c r="G173" s="2" t="n">
        <f aca="false">COUNTA(A2:A166)</f>
        <v>165</v>
      </c>
      <c r="H173" s="2"/>
      <c r="I173" s="2"/>
      <c r="J173" s="2"/>
      <c r="K173" s="2"/>
    </row>
    <row r="174" customFormat="false" ht="26.85" hidden="false" customHeight="false" outlineLevel="0" collapsed="false">
      <c r="A174" s="2"/>
      <c r="B174" s="2"/>
      <c r="C174" s="2"/>
      <c r="D174" s="2"/>
      <c r="E174" s="2"/>
      <c r="F174" s="4" t="s">
        <v>1144</v>
      </c>
      <c r="G174" s="2" t="n">
        <f aca="false">COUNTIF(B2:B166,"D09*")+COUNTIF(B2:B166,"D10*")</f>
        <v>152</v>
      </c>
      <c r="H174" s="2"/>
      <c r="I174" s="2"/>
      <c r="J174" s="2"/>
      <c r="K174" s="2"/>
    </row>
    <row r="175" customFormat="false" ht="26.85" hidden="false" customHeight="false" outlineLevel="0" collapsed="false">
      <c r="A175" s="2"/>
      <c r="B175" s="2"/>
      <c r="C175" s="2"/>
      <c r="D175" s="2"/>
      <c r="E175" s="2"/>
      <c r="F175" s="4" t="s">
        <v>1145</v>
      </c>
      <c r="G175" s="2" t="n">
        <f aca="false">COUNTIF(B2:B166,"D11*")+COUNTIF(B2:B166,"D12*")</f>
        <v>13</v>
      </c>
      <c r="H175" s="2"/>
      <c r="I175" s="2"/>
      <c r="J175" s="2"/>
      <c r="K175" s="2"/>
    </row>
    <row r="176" customFormat="false" ht="15" hidden="false" customHeight="false" outlineLevel="0" collapsed="false">
      <c r="A176" s="2"/>
      <c r="B176" s="2"/>
      <c r="C176" s="2"/>
      <c r="D176" s="2"/>
      <c r="E176" s="2"/>
      <c r="F176" s="2"/>
      <c r="G176" s="2"/>
      <c r="H176" s="2"/>
      <c r="I176" s="2"/>
      <c r="J176" s="2"/>
      <c r="K176" s="2"/>
    </row>
    <row r="177" customFormat="false" ht="1423.85" hidden="false" customHeight="false" outlineLevel="0" collapsed="false">
      <c r="A177" s="2" t="s">
        <v>1146</v>
      </c>
      <c r="B177" s="2"/>
      <c r="C177" s="2"/>
      <c r="D177" s="2"/>
      <c r="E177" s="2"/>
      <c r="F177" s="2"/>
      <c r="G177" s="2"/>
      <c r="H177" s="2"/>
      <c r="I177" s="2"/>
      <c r="J177" s="2"/>
      <c r="K17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3" min="3" style="0" width="28"/>
    <col collapsed="false" customWidth="true" hidden="false" outlineLevel="0" max="4" min="4" style="0" width="6"/>
    <col collapsed="false" customWidth="true" hidden="false" outlineLevel="0" max="5" min="5" style="0" width="26"/>
    <col collapsed="false" customWidth="true" hidden="false" outlineLevel="0" max="6" min="6" style="0" width="40"/>
    <col collapsed="false" customWidth="true" hidden="false" outlineLevel="0" max="7" min="7" style="0" width="10"/>
    <col collapsed="false" customWidth="true" hidden="false" outlineLevel="0" max="8" min="8" style="0" width="18"/>
    <col collapsed="false" customWidth="true" hidden="false" outlineLevel="0" max="9" min="9" style="0" width="14"/>
    <col collapsed="false" customWidth="true" hidden="false" outlineLevel="0" max="10" min="10" style="0" width="40"/>
    <col collapsed="false" customWidth="true" hidden="false" outlineLevel="0" max="11" min="11" style="0" width="20"/>
    <col collapsed="false" customWidth="true" hidden="false" outlineLevel="0" max="12" min="12" style="0" width="36"/>
  </cols>
  <sheetData>
    <row r="1" customFormat="false" ht="39.55" hidden="false" customHeight="false" outlineLevel="0" collapsed="false">
      <c r="A1" s="1" t="s">
        <v>1147</v>
      </c>
      <c r="B1" s="1" t="s">
        <v>216</v>
      </c>
      <c r="C1" s="1" t="s">
        <v>1148</v>
      </c>
      <c r="D1" s="1" t="s">
        <v>415</v>
      </c>
      <c r="E1" s="1" t="s">
        <v>1149</v>
      </c>
      <c r="F1" s="1" t="s">
        <v>1150</v>
      </c>
      <c r="G1" s="1" t="s">
        <v>218</v>
      </c>
      <c r="H1" s="1" t="s">
        <v>1151</v>
      </c>
      <c r="I1" s="1" t="s">
        <v>1152</v>
      </c>
      <c r="J1" s="1" t="s">
        <v>418</v>
      </c>
      <c r="K1" s="1" t="s">
        <v>1153</v>
      </c>
      <c r="L1" s="1" t="s">
        <v>1154</v>
      </c>
    </row>
    <row r="2" customFormat="false" ht="23.85" hidden="false" customHeight="false" outlineLevel="0" collapsed="false">
      <c r="A2" s="2" t="s">
        <v>1155</v>
      </c>
      <c r="B2" s="2" t="s">
        <v>1156</v>
      </c>
      <c r="C2" s="2" t="s">
        <v>1157</v>
      </c>
      <c r="D2" s="2" t="n">
        <v>2025</v>
      </c>
      <c r="E2" s="2" t="s">
        <v>1158</v>
      </c>
      <c r="F2" s="2" t="s">
        <v>1159</v>
      </c>
      <c r="G2" s="2" t="s">
        <v>77</v>
      </c>
      <c r="H2" s="2" t="s">
        <v>1160</v>
      </c>
      <c r="I2" s="8" t="s">
        <v>426</v>
      </c>
      <c r="J2" s="2" t="s">
        <v>1161</v>
      </c>
      <c r="K2" s="2" t="s">
        <v>1162</v>
      </c>
      <c r="L2" s="2" t="s">
        <v>1163</v>
      </c>
    </row>
    <row r="3" customFormat="false" ht="23.85" hidden="false" customHeight="false" outlineLevel="0" collapsed="false">
      <c r="A3" s="2" t="s">
        <v>1164</v>
      </c>
      <c r="B3" s="2" t="s">
        <v>1165</v>
      </c>
      <c r="C3" s="2" t="s">
        <v>1166</v>
      </c>
      <c r="D3" s="2" t="n">
        <v>2026</v>
      </c>
      <c r="E3" s="2" t="s">
        <v>1167</v>
      </c>
      <c r="F3" s="2" t="s">
        <v>1168</v>
      </c>
      <c r="G3" s="2" t="s">
        <v>120</v>
      </c>
      <c r="H3" s="2" t="s">
        <v>1160</v>
      </c>
      <c r="I3" s="8" t="s">
        <v>426</v>
      </c>
      <c r="J3" s="2" t="s">
        <v>1169</v>
      </c>
      <c r="K3" s="2" t="s">
        <v>789</v>
      </c>
      <c r="L3" s="2" t="s">
        <v>1170</v>
      </c>
    </row>
    <row r="4" customFormat="false" ht="23.85" hidden="false" customHeight="false" outlineLevel="0" collapsed="false">
      <c r="A4" s="2" t="s">
        <v>1171</v>
      </c>
      <c r="B4" s="2" t="s">
        <v>1172</v>
      </c>
      <c r="C4" s="2" t="s">
        <v>1173</v>
      </c>
      <c r="D4" s="2" t="n">
        <v>2026</v>
      </c>
      <c r="E4" s="2" t="s">
        <v>1174</v>
      </c>
      <c r="F4" s="2" t="s">
        <v>1175</v>
      </c>
      <c r="G4" s="2" t="s">
        <v>129</v>
      </c>
      <c r="H4" s="2" t="s">
        <v>1160</v>
      </c>
      <c r="I4" s="8" t="s">
        <v>426</v>
      </c>
      <c r="J4" s="2" t="s">
        <v>1176</v>
      </c>
      <c r="K4" s="2" t="s">
        <v>616</v>
      </c>
      <c r="L4" s="2" t="s">
        <v>1177</v>
      </c>
    </row>
    <row r="5" customFormat="false" ht="23.85" hidden="false" customHeight="false" outlineLevel="0" collapsed="false">
      <c r="A5" s="2" t="s">
        <v>1178</v>
      </c>
      <c r="B5" s="2" t="s">
        <v>1179</v>
      </c>
      <c r="C5" s="2" t="s">
        <v>1180</v>
      </c>
      <c r="D5" s="2" t="n">
        <v>2025</v>
      </c>
      <c r="E5" s="2" t="s">
        <v>1181</v>
      </c>
      <c r="F5" s="2" t="s">
        <v>1182</v>
      </c>
      <c r="G5" s="2" t="s">
        <v>138</v>
      </c>
      <c r="H5" s="2" t="s">
        <v>1160</v>
      </c>
      <c r="I5" s="8" t="s">
        <v>426</v>
      </c>
      <c r="J5" s="2" t="s">
        <v>1183</v>
      </c>
      <c r="K5" s="2" t="s">
        <v>1184</v>
      </c>
      <c r="L5" s="2" t="s">
        <v>1185</v>
      </c>
    </row>
    <row r="6" customFormat="false" ht="23.85" hidden="false" customHeight="false" outlineLevel="0" collapsed="false">
      <c r="A6" s="2" t="s">
        <v>1186</v>
      </c>
      <c r="B6" s="2" t="s">
        <v>1187</v>
      </c>
      <c r="C6" s="2" t="s">
        <v>1188</v>
      </c>
      <c r="D6" s="2" t="n">
        <v>2025</v>
      </c>
      <c r="E6" s="2" t="s">
        <v>1174</v>
      </c>
      <c r="F6" s="2" t="s">
        <v>1189</v>
      </c>
      <c r="G6" s="2" t="s">
        <v>81</v>
      </c>
      <c r="H6" s="2" t="s">
        <v>1160</v>
      </c>
      <c r="I6" s="8" t="s">
        <v>426</v>
      </c>
      <c r="J6" s="2" t="s">
        <v>1190</v>
      </c>
      <c r="K6" s="2" t="s">
        <v>894</v>
      </c>
      <c r="L6" s="2" t="s">
        <v>1191</v>
      </c>
    </row>
    <row r="7" customFormat="false" ht="35.05" hidden="false" customHeight="false" outlineLevel="0" collapsed="false">
      <c r="A7" s="2" t="s">
        <v>1192</v>
      </c>
      <c r="B7" s="2" t="s">
        <v>1193</v>
      </c>
      <c r="C7" s="2" t="s">
        <v>1194</v>
      </c>
      <c r="D7" s="2" t="n">
        <v>2026</v>
      </c>
      <c r="E7" s="2" t="s">
        <v>1174</v>
      </c>
      <c r="F7" s="2" t="s">
        <v>1195</v>
      </c>
      <c r="G7" s="2" t="s">
        <v>81</v>
      </c>
      <c r="H7" s="2" t="s">
        <v>1160</v>
      </c>
      <c r="I7" s="8" t="s">
        <v>426</v>
      </c>
      <c r="J7" s="2" t="s">
        <v>1196</v>
      </c>
      <c r="K7" s="2" t="s">
        <v>894</v>
      </c>
      <c r="L7" s="2" t="s">
        <v>1197</v>
      </c>
    </row>
    <row r="8" customFormat="false" ht="35.05" hidden="false" customHeight="false" outlineLevel="0" collapsed="false">
      <c r="A8" s="2" t="s">
        <v>1198</v>
      </c>
      <c r="B8" s="2" t="s">
        <v>1199</v>
      </c>
      <c r="C8" s="2" t="s">
        <v>1200</v>
      </c>
      <c r="D8" s="2" t="n">
        <v>2026</v>
      </c>
      <c r="E8" s="2" t="s">
        <v>1201</v>
      </c>
      <c r="F8" s="2" t="s">
        <v>1202</v>
      </c>
      <c r="G8" s="2" t="s">
        <v>1203</v>
      </c>
      <c r="H8" s="2" t="s">
        <v>1160</v>
      </c>
      <c r="I8" s="8" t="s">
        <v>426</v>
      </c>
      <c r="J8" s="2" t="s">
        <v>1204</v>
      </c>
      <c r="K8" s="2" t="s">
        <v>1205</v>
      </c>
      <c r="L8" s="2" t="s">
        <v>1206</v>
      </c>
    </row>
    <row r="9" customFormat="false" ht="35.05" hidden="false" customHeight="false" outlineLevel="0" collapsed="false">
      <c r="A9" s="2" t="s">
        <v>1207</v>
      </c>
      <c r="B9" s="2" t="s">
        <v>1208</v>
      </c>
      <c r="C9" s="2" t="s">
        <v>1209</v>
      </c>
      <c r="D9" s="2" t="n">
        <v>2026</v>
      </c>
      <c r="E9" s="2" t="s">
        <v>1174</v>
      </c>
      <c r="F9" s="2" t="s">
        <v>1210</v>
      </c>
      <c r="G9" s="2" t="s">
        <v>1211</v>
      </c>
      <c r="H9" s="2" t="s">
        <v>1160</v>
      </c>
      <c r="I9" s="8" t="s">
        <v>426</v>
      </c>
      <c r="J9" s="2" t="s">
        <v>1212</v>
      </c>
      <c r="K9" s="2" t="s">
        <v>1213</v>
      </c>
      <c r="L9" s="2" t="s">
        <v>1214</v>
      </c>
    </row>
    <row r="10" customFormat="false" ht="35.05" hidden="false" customHeight="false" outlineLevel="0" collapsed="false">
      <c r="A10" s="2" t="s">
        <v>1215</v>
      </c>
      <c r="B10" s="2" t="s">
        <v>1216</v>
      </c>
      <c r="C10" s="2" t="s">
        <v>1217</v>
      </c>
      <c r="D10" s="2" t="n">
        <v>2026</v>
      </c>
      <c r="E10" s="2" t="s">
        <v>1218</v>
      </c>
      <c r="F10" s="2" t="s">
        <v>1219</v>
      </c>
      <c r="G10" s="2" t="s">
        <v>94</v>
      </c>
      <c r="H10" s="2" t="s">
        <v>1160</v>
      </c>
      <c r="I10" s="8" t="s">
        <v>426</v>
      </c>
      <c r="J10" s="2" t="s">
        <v>1220</v>
      </c>
      <c r="K10" s="2" t="s">
        <v>1034</v>
      </c>
      <c r="L10" s="2" t="s">
        <v>1221</v>
      </c>
    </row>
    <row r="11" customFormat="false" ht="23.85" hidden="false" customHeight="false" outlineLevel="0" collapsed="false">
      <c r="A11" s="2" t="s">
        <v>847</v>
      </c>
      <c r="B11" s="2" t="s">
        <v>845</v>
      </c>
      <c r="C11" s="2" t="s">
        <v>1222</v>
      </c>
      <c r="D11" s="2" t="n">
        <v>2022</v>
      </c>
      <c r="E11" s="2" t="s">
        <v>1223</v>
      </c>
      <c r="F11" s="2" t="s">
        <v>1224</v>
      </c>
      <c r="G11" s="2" t="s">
        <v>84</v>
      </c>
      <c r="H11" s="2" t="s">
        <v>1160</v>
      </c>
      <c r="I11" s="8" t="s">
        <v>426</v>
      </c>
      <c r="J11" s="2" t="s">
        <v>1225</v>
      </c>
      <c r="K11" s="2" t="s">
        <v>226</v>
      </c>
      <c r="L11" s="2" t="s">
        <v>1226</v>
      </c>
    </row>
    <row r="12" customFormat="false" ht="23.85" hidden="false" customHeight="false" outlineLevel="0" collapsed="false">
      <c r="A12" s="2" t="s">
        <v>1227</v>
      </c>
      <c r="B12" s="2" t="s">
        <v>942</v>
      </c>
      <c r="C12" s="2" t="s">
        <v>1228</v>
      </c>
      <c r="D12" s="2" t="n">
        <v>2023</v>
      </c>
      <c r="E12" s="2" t="s">
        <v>1229</v>
      </c>
      <c r="F12" s="2" t="s">
        <v>1230</v>
      </c>
      <c r="G12" s="2" t="s">
        <v>126</v>
      </c>
      <c r="H12" s="2" t="s">
        <v>1160</v>
      </c>
      <c r="I12" s="8" t="s">
        <v>426</v>
      </c>
      <c r="J12" s="2" t="s">
        <v>1231</v>
      </c>
      <c r="K12" s="2" t="s">
        <v>226</v>
      </c>
      <c r="L12" s="2" t="s">
        <v>1232</v>
      </c>
    </row>
    <row r="13" customFormat="false" ht="23.85" hidden="false" customHeight="false" outlineLevel="0" collapsed="false">
      <c r="A13" s="2" t="s">
        <v>1233</v>
      </c>
      <c r="B13" s="2" t="s">
        <v>1044</v>
      </c>
      <c r="C13" s="2" t="s">
        <v>1234</v>
      </c>
      <c r="D13" s="2" t="n">
        <v>2023</v>
      </c>
      <c r="E13" s="2" t="s">
        <v>885</v>
      </c>
      <c r="F13" s="2" t="s">
        <v>1235</v>
      </c>
      <c r="G13" s="2" t="s">
        <v>84</v>
      </c>
      <c r="H13" s="2" t="s">
        <v>1160</v>
      </c>
      <c r="I13" s="8" t="s">
        <v>426</v>
      </c>
      <c r="J13" s="2" t="s">
        <v>1236</v>
      </c>
      <c r="K13" s="2" t="s">
        <v>226</v>
      </c>
      <c r="L13" s="2" t="s">
        <v>1237</v>
      </c>
    </row>
    <row r="14" customFormat="false" ht="23.85" hidden="false" customHeight="false" outlineLevel="0" collapsed="false">
      <c r="A14" s="2" t="s">
        <v>1238</v>
      </c>
      <c r="B14" s="2" t="s">
        <v>1239</v>
      </c>
      <c r="C14" s="2" t="s">
        <v>1240</v>
      </c>
      <c r="D14" s="2" t="n">
        <v>2024</v>
      </c>
      <c r="E14" s="2" t="s">
        <v>1241</v>
      </c>
      <c r="F14" s="2" t="s">
        <v>1242</v>
      </c>
      <c r="G14" s="2" t="s">
        <v>103</v>
      </c>
      <c r="H14" s="2" t="s">
        <v>1160</v>
      </c>
      <c r="I14" s="8" t="s">
        <v>426</v>
      </c>
      <c r="J14" s="2" t="s">
        <v>1243</v>
      </c>
      <c r="K14" s="2" t="s">
        <v>235</v>
      </c>
      <c r="L14" s="2" t="s">
        <v>1244</v>
      </c>
    </row>
    <row r="15" customFormat="false" ht="23.85" hidden="false" customHeight="false" outlineLevel="0" collapsed="false">
      <c r="A15" s="2" t="s">
        <v>1245</v>
      </c>
      <c r="B15" s="2" t="s">
        <v>1246</v>
      </c>
      <c r="C15" s="2" t="s">
        <v>1247</v>
      </c>
      <c r="D15" s="2" t="n">
        <v>2021</v>
      </c>
      <c r="E15" s="2" t="s">
        <v>1248</v>
      </c>
      <c r="F15" s="2" t="s">
        <v>1249</v>
      </c>
      <c r="G15" s="2" t="s">
        <v>87</v>
      </c>
      <c r="H15" s="2" t="s">
        <v>1160</v>
      </c>
      <c r="I15" s="8" t="s">
        <v>426</v>
      </c>
      <c r="J15" s="2" t="s">
        <v>1250</v>
      </c>
      <c r="K15" s="2" t="s">
        <v>240</v>
      </c>
      <c r="L15" s="2" t="s">
        <v>1163</v>
      </c>
    </row>
    <row r="16" customFormat="false" ht="35.05" hidden="false" customHeight="false" outlineLevel="0" collapsed="false">
      <c r="A16" s="2" t="s">
        <v>843</v>
      </c>
      <c r="B16" s="2" t="s">
        <v>380</v>
      </c>
      <c r="C16" s="2" t="s">
        <v>1251</v>
      </c>
      <c r="D16" s="2" t="n">
        <v>2024</v>
      </c>
      <c r="E16" s="2" t="s">
        <v>268</v>
      </c>
      <c r="F16" s="2" t="s">
        <v>1252</v>
      </c>
      <c r="G16" s="2" t="s">
        <v>90</v>
      </c>
      <c r="H16" s="2" t="s">
        <v>1160</v>
      </c>
      <c r="I16" s="8" t="s">
        <v>426</v>
      </c>
      <c r="J16" s="2" t="s">
        <v>1253</v>
      </c>
      <c r="K16" s="2" t="s">
        <v>240</v>
      </c>
      <c r="L16" s="2" t="s">
        <v>1254</v>
      </c>
    </row>
    <row r="17" customFormat="false" ht="23.85" hidden="false" customHeight="false" outlineLevel="0" collapsed="false">
      <c r="A17" s="2" t="s">
        <v>1255</v>
      </c>
      <c r="B17" s="2" t="s">
        <v>1256</v>
      </c>
      <c r="C17" s="2" t="s">
        <v>1257</v>
      </c>
      <c r="D17" s="2" t="n">
        <v>2024</v>
      </c>
      <c r="E17" s="2" t="s">
        <v>1258</v>
      </c>
      <c r="F17" s="2" t="s">
        <v>1259</v>
      </c>
      <c r="G17" s="2" t="s">
        <v>87</v>
      </c>
      <c r="H17" s="2" t="s">
        <v>1160</v>
      </c>
      <c r="I17" s="8" t="s">
        <v>426</v>
      </c>
      <c r="J17" s="2" t="s">
        <v>1260</v>
      </c>
      <c r="K17" s="2" t="s">
        <v>240</v>
      </c>
      <c r="L17" s="2" t="s">
        <v>1163</v>
      </c>
    </row>
    <row r="18" customFormat="false" ht="23.85" hidden="false" customHeight="false" outlineLevel="0" collapsed="false">
      <c r="A18" s="2" t="s">
        <v>1261</v>
      </c>
      <c r="B18" s="2" t="s">
        <v>1262</v>
      </c>
      <c r="C18" s="2" t="s">
        <v>1263</v>
      </c>
      <c r="D18" s="2" t="n">
        <v>2023</v>
      </c>
      <c r="E18" s="2" t="s">
        <v>1229</v>
      </c>
      <c r="F18" s="2" t="s">
        <v>1264</v>
      </c>
      <c r="G18" s="2" t="s">
        <v>111</v>
      </c>
      <c r="H18" s="2" t="s">
        <v>1160</v>
      </c>
      <c r="I18" s="8" t="s">
        <v>426</v>
      </c>
      <c r="J18" s="2" t="s">
        <v>1265</v>
      </c>
      <c r="K18" s="2" t="s">
        <v>1266</v>
      </c>
      <c r="L18" s="2" t="s">
        <v>1267</v>
      </c>
    </row>
    <row r="19" customFormat="false" ht="23.85" hidden="false" customHeight="false" outlineLevel="0" collapsed="false">
      <c r="A19" s="2" t="s">
        <v>1268</v>
      </c>
      <c r="B19" s="2" t="s">
        <v>1269</v>
      </c>
      <c r="C19" s="2" t="s">
        <v>1270</v>
      </c>
      <c r="D19" s="2" t="n">
        <v>2026</v>
      </c>
      <c r="E19" s="2" t="s">
        <v>1271</v>
      </c>
      <c r="F19" s="2" t="s">
        <v>1272</v>
      </c>
      <c r="G19" s="2" t="s">
        <v>111</v>
      </c>
      <c r="H19" s="2" t="s">
        <v>1160</v>
      </c>
      <c r="I19" s="8" t="s">
        <v>426</v>
      </c>
      <c r="J19" s="2" t="s">
        <v>1273</v>
      </c>
      <c r="K19" s="2" t="s">
        <v>1266</v>
      </c>
      <c r="L19" s="2" t="s">
        <v>1274</v>
      </c>
    </row>
    <row r="20" customFormat="false" ht="35.05" hidden="false" customHeight="false" outlineLevel="0" collapsed="false">
      <c r="A20" s="2" t="s">
        <v>1010</v>
      </c>
      <c r="B20" s="2" t="s">
        <v>340</v>
      </c>
      <c r="C20" s="2" t="s">
        <v>1275</v>
      </c>
      <c r="D20" s="2" t="n">
        <v>2024</v>
      </c>
      <c r="E20" s="2" t="s">
        <v>341</v>
      </c>
      <c r="F20" s="2" t="s">
        <v>1276</v>
      </c>
      <c r="G20" s="2" t="s">
        <v>1277</v>
      </c>
      <c r="H20" s="2" t="s">
        <v>1160</v>
      </c>
      <c r="I20" s="8" t="s">
        <v>426</v>
      </c>
      <c r="J20" s="2" t="s">
        <v>1278</v>
      </c>
      <c r="K20" s="2" t="s">
        <v>1266</v>
      </c>
      <c r="L20" s="2"/>
    </row>
    <row r="21" customFormat="false" ht="23.85" hidden="false" customHeight="false" outlineLevel="0" collapsed="false">
      <c r="A21" s="2" t="s">
        <v>1279</v>
      </c>
      <c r="B21" s="2" t="s">
        <v>1280</v>
      </c>
      <c r="C21" s="2" t="s">
        <v>1281</v>
      </c>
      <c r="D21" s="2" t="n">
        <v>2024</v>
      </c>
      <c r="E21" s="2" t="s">
        <v>1174</v>
      </c>
      <c r="F21" s="2" t="s">
        <v>1282</v>
      </c>
      <c r="G21" s="2" t="s">
        <v>111</v>
      </c>
      <c r="H21" s="2" t="s">
        <v>1160</v>
      </c>
      <c r="I21" s="8" t="s">
        <v>426</v>
      </c>
      <c r="J21" s="2" t="s">
        <v>1283</v>
      </c>
      <c r="K21" s="2" t="s">
        <v>1266</v>
      </c>
      <c r="L21" s="2" t="s">
        <v>1284</v>
      </c>
    </row>
    <row r="22" customFormat="false" ht="23.85" hidden="false" customHeight="false" outlineLevel="0" collapsed="false">
      <c r="A22" s="2" t="s">
        <v>1285</v>
      </c>
      <c r="B22" s="2" t="s">
        <v>1286</v>
      </c>
      <c r="C22" s="2" t="s">
        <v>1287</v>
      </c>
      <c r="D22" s="2" t="n">
        <v>2026</v>
      </c>
      <c r="E22" s="2" t="s">
        <v>1288</v>
      </c>
      <c r="F22" s="2" t="s">
        <v>1289</v>
      </c>
      <c r="G22" s="2" t="s">
        <v>111</v>
      </c>
      <c r="H22" s="2" t="s">
        <v>1160</v>
      </c>
      <c r="I22" s="8" t="s">
        <v>426</v>
      </c>
      <c r="J22" s="2" t="s">
        <v>1290</v>
      </c>
      <c r="K22" s="2" t="s">
        <v>1266</v>
      </c>
      <c r="L22" s="2" t="s">
        <v>1291</v>
      </c>
    </row>
    <row r="23" customFormat="false" ht="23.85" hidden="false" customHeight="false" outlineLevel="0" collapsed="false">
      <c r="A23" s="2" t="s">
        <v>1292</v>
      </c>
      <c r="B23" s="2" t="s">
        <v>1293</v>
      </c>
      <c r="C23" s="2" t="s">
        <v>1294</v>
      </c>
      <c r="D23" s="2" t="n">
        <v>2026</v>
      </c>
      <c r="E23" s="2" t="s">
        <v>1295</v>
      </c>
      <c r="F23" s="2" t="s">
        <v>1296</v>
      </c>
      <c r="G23" s="2" t="s">
        <v>123</v>
      </c>
      <c r="H23" s="2" t="s">
        <v>1160</v>
      </c>
      <c r="I23" s="8" t="s">
        <v>426</v>
      </c>
      <c r="J23" s="2" t="s">
        <v>1297</v>
      </c>
      <c r="K23" s="2" t="s">
        <v>226</v>
      </c>
      <c r="L23" s="2" t="s">
        <v>1298</v>
      </c>
    </row>
    <row r="24" customFormat="false" ht="35.05" hidden="false" customHeight="false" outlineLevel="0" collapsed="false">
      <c r="A24" s="2" t="s">
        <v>1299</v>
      </c>
      <c r="B24" s="2" t="s">
        <v>1300</v>
      </c>
      <c r="C24" s="2" t="s">
        <v>1301</v>
      </c>
      <c r="D24" s="2" t="n">
        <v>2026</v>
      </c>
      <c r="E24" s="2" t="s">
        <v>1174</v>
      </c>
      <c r="F24" s="2" t="s">
        <v>1302</v>
      </c>
      <c r="G24" s="2" t="s">
        <v>123</v>
      </c>
      <c r="H24" s="2" t="s">
        <v>1160</v>
      </c>
      <c r="I24" s="8" t="s">
        <v>426</v>
      </c>
      <c r="J24" s="2" t="s">
        <v>1303</v>
      </c>
      <c r="K24" s="2" t="s">
        <v>633</v>
      </c>
      <c r="L24" s="2" t="s">
        <v>1304</v>
      </c>
    </row>
    <row r="25" customFormat="false" ht="23.85" hidden="false" customHeight="false" outlineLevel="0" collapsed="false">
      <c r="A25" s="2" t="s">
        <v>1305</v>
      </c>
      <c r="B25" s="2" t="s">
        <v>1306</v>
      </c>
      <c r="C25" s="2" t="s">
        <v>1307</v>
      </c>
      <c r="D25" s="2" t="n">
        <v>2026</v>
      </c>
      <c r="E25" s="2" t="s">
        <v>1308</v>
      </c>
      <c r="F25" s="2" t="s">
        <v>1309</v>
      </c>
      <c r="G25" s="2" t="s">
        <v>132</v>
      </c>
      <c r="H25" s="2" t="s">
        <v>1160</v>
      </c>
      <c r="I25" s="8" t="s">
        <v>426</v>
      </c>
      <c r="J25" s="2" t="s">
        <v>1310</v>
      </c>
      <c r="K25" s="2" t="s">
        <v>1311</v>
      </c>
      <c r="L25" s="2" t="s">
        <v>1312</v>
      </c>
    </row>
    <row r="26" customFormat="false" ht="23.85" hidden="false" customHeight="false" outlineLevel="0" collapsed="false">
      <c r="A26" s="2" t="s">
        <v>1313</v>
      </c>
      <c r="B26" s="2" t="s">
        <v>1314</v>
      </c>
      <c r="C26" s="2" t="s">
        <v>1315</v>
      </c>
      <c r="D26" s="2" t="n">
        <v>2026</v>
      </c>
      <c r="E26" s="2" t="s">
        <v>1174</v>
      </c>
      <c r="F26" s="2" t="s">
        <v>1316</v>
      </c>
      <c r="G26" s="2" t="s">
        <v>100</v>
      </c>
      <c r="H26" s="2" t="s">
        <v>1160</v>
      </c>
      <c r="I26" s="8" t="s">
        <v>426</v>
      </c>
      <c r="J26" s="2" t="s">
        <v>1317</v>
      </c>
      <c r="K26" s="2" t="s">
        <v>1318</v>
      </c>
      <c r="L26" s="2" t="s">
        <v>1291</v>
      </c>
    </row>
    <row r="27" customFormat="false" ht="23.85" hidden="false" customHeight="false" outlineLevel="0" collapsed="false">
      <c r="A27" s="2" t="s">
        <v>1319</v>
      </c>
      <c r="B27" s="2" t="s">
        <v>1320</v>
      </c>
      <c r="C27" s="2" t="s">
        <v>1321</v>
      </c>
      <c r="D27" s="2" t="n">
        <v>2026</v>
      </c>
      <c r="E27" s="2" t="s">
        <v>1322</v>
      </c>
      <c r="F27" s="2" t="s">
        <v>1323</v>
      </c>
      <c r="G27" s="2" t="s">
        <v>145</v>
      </c>
      <c r="H27" s="2" t="s">
        <v>1160</v>
      </c>
      <c r="I27" s="8" t="s">
        <v>426</v>
      </c>
      <c r="J27" s="2" t="s">
        <v>1324</v>
      </c>
      <c r="K27" s="2" t="s">
        <v>1325</v>
      </c>
      <c r="L27" s="2" t="s">
        <v>1291</v>
      </c>
    </row>
    <row r="28" customFormat="false" ht="23.85" hidden="false" customHeight="false" outlineLevel="0" collapsed="false">
      <c r="A28" s="2" t="s">
        <v>1326</v>
      </c>
      <c r="B28" s="2" t="s">
        <v>1327</v>
      </c>
      <c r="C28" s="2" t="s">
        <v>1328</v>
      </c>
      <c r="D28" s="2" t="n">
        <v>2026</v>
      </c>
      <c r="E28" s="2" t="s">
        <v>1174</v>
      </c>
      <c r="F28" s="2" t="s">
        <v>1329</v>
      </c>
      <c r="G28" s="2" t="s">
        <v>145</v>
      </c>
      <c r="H28" s="2" t="s">
        <v>1160</v>
      </c>
      <c r="I28" s="8" t="s">
        <v>426</v>
      </c>
      <c r="J28" s="2" t="s">
        <v>1330</v>
      </c>
      <c r="K28" s="2" t="s">
        <v>1331</v>
      </c>
      <c r="L28" s="2" t="s">
        <v>1332</v>
      </c>
    </row>
    <row r="29" customFormat="false" ht="23.85" hidden="false" customHeight="false" outlineLevel="0" collapsed="false">
      <c r="A29" s="2" t="s">
        <v>1333</v>
      </c>
      <c r="B29" s="2" t="s">
        <v>1334</v>
      </c>
      <c r="C29" s="2" t="s">
        <v>1335</v>
      </c>
      <c r="D29" s="2" t="n">
        <v>2024</v>
      </c>
      <c r="E29" s="2" t="s">
        <v>1174</v>
      </c>
      <c r="F29" s="2" t="s">
        <v>1336</v>
      </c>
      <c r="G29" s="2" t="s">
        <v>100</v>
      </c>
      <c r="H29" s="2" t="s">
        <v>1160</v>
      </c>
      <c r="I29" s="9" t="s">
        <v>531</v>
      </c>
      <c r="J29" s="2" t="s">
        <v>1337</v>
      </c>
      <c r="K29" s="2" t="s">
        <v>482</v>
      </c>
      <c r="L29" s="2"/>
    </row>
    <row r="30" customFormat="false" ht="23.85" hidden="false" customHeight="false" outlineLevel="0" collapsed="false">
      <c r="A30" s="2" t="s">
        <v>1338</v>
      </c>
      <c r="B30" s="2" t="s">
        <v>1339</v>
      </c>
      <c r="C30" s="2" t="s">
        <v>1340</v>
      </c>
      <c r="D30" s="2" t="n">
        <v>2026</v>
      </c>
      <c r="E30" s="2" t="s">
        <v>1174</v>
      </c>
      <c r="F30" s="2" t="s">
        <v>1341</v>
      </c>
      <c r="G30" s="2" t="s">
        <v>111</v>
      </c>
      <c r="H30" s="2" t="s">
        <v>1160</v>
      </c>
      <c r="I30" s="9" t="s">
        <v>531</v>
      </c>
      <c r="J30" s="2" t="s">
        <v>1342</v>
      </c>
      <c r="K30" s="2" t="s">
        <v>482</v>
      </c>
      <c r="L30" s="2"/>
    </row>
    <row r="31" customFormat="false" ht="23.85" hidden="false" customHeight="false" outlineLevel="0" collapsed="false">
      <c r="A31" s="2" t="s">
        <v>1343</v>
      </c>
      <c r="B31" s="2" t="s">
        <v>1344</v>
      </c>
      <c r="C31" s="2" t="s">
        <v>1340</v>
      </c>
      <c r="D31" s="2" t="n">
        <v>2025</v>
      </c>
      <c r="E31" s="2" t="s">
        <v>1174</v>
      </c>
      <c r="F31" s="2" t="s">
        <v>1345</v>
      </c>
      <c r="G31" s="2" t="s">
        <v>138</v>
      </c>
      <c r="H31" s="2" t="s">
        <v>1160</v>
      </c>
      <c r="I31" s="9" t="s">
        <v>531</v>
      </c>
      <c r="J31" s="2" t="s">
        <v>1346</v>
      </c>
      <c r="K31" s="2" t="s">
        <v>482</v>
      </c>
      <c r="L31" s="2"/>
    </row>
    <row r="32" customFormat="false" ht="15" hidden="false" customHeight="false" outlineLevel="0" collapsed="false">
      <c r="A32" s="2" t="s">
        <v>1347</v>
      </c>
      <c r="B32" s="2" t="s">
        <v>1348</v>
      </c>
      <c r="C32" s="2" t="s">
        <v>1340</v>
      </c>
      <c r="D32" s="2" t="n">
        <v>2025</v>
      </c>
      <c r="E32" s="2" t="s">
        <v>1174</v>
      </c>
      <c r="F32" s="2" t="s">
        <v>1349</v>
      </c>
      <c r="G32" s="2" t="s">
        <v>138</v>
      </c>
      <c r="H32" s="2" t="s">
        <v>1160</v>
      </c>
      <c r="I32" s="9" t="s">
        <v>531</v>
      </c>
      <c r="J32" s="2" t="s">
        <v>1350</v>
      </c>
      <c r="K32" s="2" t="s">
        <v>482</v>
      </c>
      <c r="L32" s="2"/>
    </row>
    <row r="33" customFormat="false" ht="23.85" hidden="false" customHeight="false" outlineLevel="0" collapsed="false">
      <c r="A33" s="2" t="s">
        <v>1351</v>
      </c>
      <c r="B33" s="2" t="s">
        <v>1352</v>
      </c>
      <c r="C33" s="2" t="s">
        <v>1353</v>
      </c>
      <c r="D33" s="2" t="n">
        <v>2026</v>
      </c>
      <c r="E33" s="2" t="s">
        <v>1354</v>
      </c>
      <c r="F33" s="2" t="s">
        <v>1355</v>
      </c>
      <c r="G33" s="2" t="s">
        <v>100</v>
      </c>
      <c r="H33" s="2" t="s">
        <v>1160</v>
      </c>
      <c r="I33" s="9" t="s">
        <v>531</v>
      </c>
      <c r="J33" s="2" t="s">
        <v>1356</v>
      </c>
      <c r="K33" s="2" t="s">
        <v>482</v>
      </c>
      <c r="L33" s="2"/>
    </row>
    <row r="34" customFormat="false" ht="23.85" hidden="false" customHeight="false" outlineLevel="0" collapsed="false">
      <c r="A34" s="2" t="s">
        <v>1357</v>
      </c>
      <c r="B34" s="2" t="s">
        <v>1358</v>
      </c>
      <c r="C34" s="2" t="s">
        <v>1359</v>
      </c>
      <c r="D34" s="2" t="n">
        <v>2026</v>
      </c>
      <c r="E34" s="2" t="s">
        <v>1360</v>
      </c>
      <c r="F34" s="2" t="s">
        <v>1361</v>
      </c>
      <c r="G34" s="2" t="s">
        <v>1362</v>
      </c>
      <c r="H34" s="2" t="s">
        <v>1160</v>
      </c>
      <c r="I34" s="10" t="s">
        <v>13</v>
      </c>
      <c r="J34" s="2" t="s">
        <v>1363</v>
      </c>
      <c r="K34" s="2" t="s">
        <v>482</v>
      </c>
      <c r="L34" s="2" t="s">
        <v>1364</v>
      </c>
    </row>
    <row r="35" customFormat="false" ht="23.85" hidden="false" customHeight="false" outlineLevel="0" collapsed="false">
      <c r="A35" s="2" t="s">
        <v>1365</v>
      </c>
      <c r="B35" s="2" t="s">
        <v>1366</v>
      </c>
      <c r="C35" s="2" t="s">
        <v>1367</v>
      </c>
      <c r="D35" s="2" t="n">
        <v>2025</v>
      </c>
      <c r="E35" s="2" t="s">
        <v>1158</v>
      </c>
      <c r="F35" s="2" t="s">
        <v>1368</v>
      </c>
      <c r="G35" s="2" t="s">
        <v>114</v>
      </c>
      <c r="H35" s="2" t="s">
        <v>1369</v>
      </c>
      <c r="I35" s="9" t="s">
        <v>531</v>
      </c>
      <c r="J35" s="2" t="s">
        <v>1370</v>
      </c>
      <c r="K35" s="2" t="s">
        <v>1371</v>
      </c>
      <c r="L35" s="2"/>
    </row>
    <row r="36" customFormat="false" ht="35.05" hidden="false" customHeight="false" outlineLevel="0" collapsed="false">
      <c r="A36" s="2" t="s">
        <v>1372</v>
      </c>
      <c r="B36" s="2" t="s">
        <v>1373</v>
      </c>
      <c r="C36" s="2" t="s">
        <v>1374</v>
      </c>
      <c r="D36" s="2" t="n">
        <v>2025</v>
      </c>
      <c r="E36" s="2" t="s">
        <v>1174</v>
      </c>
      <c r="F36" s="2" t="s">
        <v>1375</v>
      </c>
      <c r="G36" s="2" t="s">
        <v>117</v>
      </c>
      <c r="H36" s="2" t="s">
        <v>1369</v>
      </c>
      <c r="I36" s="9" t="s">
        <v>531</v>
      </c>
      <c r="J36" s="2" t="s">
        <v>1376</v>
      </c>
      <c r="K36" s="2" t="s">
        <v>1377</v>
      </c>
      <c r="L36" s="2"/>
    </row>
    <row r="37" customFormat="false" ht="23.85" hidden="false" customHeight="false" outlineLevel="0" collapsed="false">
      <c r="A37" s="2" t="s">
        <v>1378</v>
      </c>
      <c r="B37" s="2" t="s">
        <v>1379</v>
      </c>
      <c r="C37" s="2" t="s">
        <v>1359</v>
      </c>
      <c r="D37" s="2" t="n">
        <v>2025</v>
      </c>
      <c r="E37" s="2" t="s">
        <v>1380</v>
      </c>
      <c r="F37" s="2" t="s">
        <v>1381</v>
      </c>
      <c r="G37" s="2" t="s">
        <v>114</v>
      </c>
      <c r="H37" s="2" t="s">
        <v>1369</v>
      </c>
      <c r="I37" s="9" t="s">
        <v>531</v>
      </c>
      <c r="J37" s="2" t="s">
        <v>1382</v>
      </c>
      <c r="K37" s="2" t="s">
        <v>482</v>
      </c>
      <c r="L37" s="2"/>
    </row>
    <row r="38" customFormat="false" ht="23.85" hidden="false" customHeight="false" outlineLevel="0" collapsed="false">
      <c r="A38" s="2" t="s">
        <v>974</v>
      </c>
      <c r="B38" s="2" t="s">
        <v>972</v>
      </c>
      <c r="C38" s="2" t="s">
        <v>1383</v>
      </c>
      <c r="D38" s="2" t="n">
        <v>2024</v>
      </c>
      <c r="E38" s="2" t="s">
        <v>885</v>
      </c>
      <c r="F38" s="2" t="s">
        <v>1384</v>
      </c>
      <c r="G38" s="2" t="s">
        <v>151</v>
      </c>
      <c r="H38" s="2" t="s">
        <v>475</v>
      </c>
      <c r="I38" s="9" t="s">
        <v>531</v>
      </c>
      <c r="J38" s="2" t="s">
        <v>1385</v>
      </c>
      <c r="K38" s="2" t="s">
        <v>482</v>
      </c>
      <c r="L38" s="2"/>
    </row>
    <row r="39" customFormat="false" ht="23.85" hidden="false" customHeight="false" outlineLevel="0" collapsed="false">
      <c r="A39" s="2" t="s">
        <v>1386</v>
      </c>
      <c r="B39" s="2" t="s">
        <v>1387</v>
      </c>
      <c r="C39" s="2" t="s">
        <v>1388</v>
      </c>
      <c r="D39" s="2" t="n">
        <v>2024</v>
      </c>
      <c r="E39" s="2" t="s">
        <v>1174</v>
      </c>
      <c r="F39" s="2" t="s">
        <v>1389</v>
      </c>
      <c r="G39" s="2" t="s">
        <v>151</v>
      </c>
      <c r="H39" s="2" t="s">
        <v>475</v>
      </c>
      <c r="I39" s="9" t="s">
        <v>531</v>
      </c>
      <c r="J39" s="2" t="s">
        <v>1390</v>
      </c>
      <c r="K39" s="2" t="s">
        <v>482</v>
      </c>
      <c r="L39" s="2"/>
    </row>
    <row r="40" customFormat="false" ht="91" hidden="false" customHeight="false" outlineLevel="0" collapsed="false">
      <c r="A40" s="2" t="s">
        <v>1391</v>
      </c>
      <c r="B40" s="2" t="s">
        <v>1392</v>
      </c>
      <c r="C40" s="2" t="s">
        <v>1393</v>
      </c>
      <c r="D40" s="2" t="n">
        <v>2026</v>
      </c>
      <c r="E40" s="2" t="s">
        <v>1174</v>
      </c>
      <c r="F40" s="2" t="s">
        <v>1394</v>
      </c>
      <c r="G40" s="2" t="s">
        <v>1395</v>
      </c>
      <c r="H40" s="2" t="s">
        <v>475</v>
      </c>
      <c r="I40" s="9" t="s">
        <v>531</v>
      </c>
      <c r="J40" s="2" t="s">
        <v>1396</v>
      </c>
      <c r="K40" s="2" t="s">
        <v>482</v>
      </c>
      <c r="L40" s="2"/>
    </row>
    <row r="41" customFormat="false" ht="35.05" hidden="false" customHeight="false" outlineLevel="0" collapsed="false">
      <c r="A41" s="2" t="s">
        <v>1397</v>
      </c>
      <c r="B41" s="2" t="s">
        <v>1398</v>
      </c>
      <c r="C41" s="2" t="s">
        <v>1399</v>
      </c>
      <c r="D41" s="2" t="n">
        <v>2025</v>
      </c>
      <c r="E41" s="2" t="s">
        <v>1174</v>
      </c>
      <c r="F41" s="2" t="s">
        <v>1400</v>
      </c>
      <c r="G41" s="2" t="s">
        <v>1401</v>
      </c>
      <c r="H41" s="2" t="s">
        <v>1160</v>
      </c>
      <c r="I41" s="8" t="s">
        <v>426</v>
      </c>
      <c r="J41" s="2" t="s">
        <v>1402</v>
      </c>
      <c r="K41" s="2" t="s">
        <v>637</v>
      </c>
      <c r="L41" s="2" t="s">
        <v>1403</v>
      </c>
    </row>
    <row r="42" customFormat="false" ht="35.05" hidden="false" customHeight="false" outlineLevel="0" collapsed="false">
      <c r="A42" s="2" t="s">
        <v>1404</v>
      </c>
      <c r="B42" s="2" t="s">
        <v>1405</v>
      </c>
      <c r="C42" s="2" t="s">
        <v>1406</v>
      </c>
      <c r="D42" s="2" t="n">
        <v>2025</v>
      </c>
      <c r="E42" s="2" t="s">
        <v>1174</v>
      </c>
      <c r="F42" s="2" t="s">
        <v>1407</v>
      </c>
      <c r="G42" s="2" t="s">
        <v>1401</v>
      </c>
      <c r="H42" s="2" t="s">
        <v>1160</v>
      </c>
      <c r="I42" s="8" t="s">
        <v>426</v>
      </c>
      <c r="J42" s="2" t="s">
        <v>1408</v>
      </c>
      <c r="K42" s="2" t="s">
        <v>1034</v>
      </c>
      <c r="L42" s="2" t="s">
        <v>1403</v>
      </c>
    </row>
    <row r="43" customFormat="false" ht="46.25" hidden="false" customHeight="false" outlineLevel="0" collapsed="false">
      <c r="A43" s="2" t="s">
        <v>1409</v>
      </c>
      <c r="B43" s="2" t="s">
        <v>1410</v>
      </c>
      <c r="C43" s="2" t="s">
        <v>1411</v>
      </c>
      <c r="D43" s="2" t="n">
        <v>2026</v>
      </c>
      <c r="E43" s="2" t="s">
        <v>1412</v>
      </c>
      <c r="F43" s="2" t="s">
        <v>1413</v>
      </c>
      <c r="G43" s="2" t="s">
        <v>1401</v>
      </c>
      <c r="H43" s="2" t="s">
        <v>1369</v>
      </c>
      <c r="I43" s="9" t="s">
        <v>531</v>
      </c>
      <c r="J43" s="2" t="s">
        <v>1414</v>
      </c>
      <c r="K43" s="2" t="s">
        <v>482</v>
      </c>
      <c r="L43" s="2"/>
    </row>
    <row r="44" customFormat="false" ht="35.05" hidden="false" customHeight="false" outlineLevel="0" collapsed="false">
      <c r="A44" s="2" t="s">
        <v>1415</v>
      </c>
      <c r="B44" s="2" t="s">
        <v>1416</v>
      </c>
      <c r="C44" s="2" t="s">
        <v>1417</v>
      </c>
      <c r="D44" s="2" t="n">
        <v>2026</v>
      </c>
      <c r="E44" s="2" t="s">
        <v>1418</v>
      </c>
      <c r="F44" s="2" t="s">
        <v>1419</v>
      </c>
      <c r="G44" s="2" t="s">
        <v>1203</v>
      </c>
      <c r="H44" s="2" t="s">
        <v>40</v>
      </c>
      <c r="I44" s="8" t="s">
        <v>426</v>
      </c>
      <c r="J44" s="2" t="s">
        <v>1420</v>
      </c>
      <c r="K44" s="2" t="s">
        <v>637</v>
      </c>
      <c r="L44" s="2"/>
    </row>
    <row r="45" customFormat="false" ht="35.05" hidden="false" customHeight="false" outlineLevel="0" collapsed="false">
      <c r="A45" s="2" t="s">
        <v>1421</v>
      </c>
      <c r="B45" s="2" t="s">
        <v>1422</v>
      </c>
      <c r="C45" s="2" t="s">
        <v>1417</v>
      </c>
      <c r="D45" s="2" t="n">
        <v>2026</v>
      </c>
      <c r="E45" s="2" t="s">
        <v>1423</v>
      </c>
      <c r="F45" s="2" t="s">
        <v>1424</v>
      </c>
      <c r="G45" s="2" t="s">
        <v>1203</v>
      </c>
      <c r="H45" s="2" t="s">
        <v>40</v>
      </c>
      <c r="I45" s="8" t="s">
        <v>426</v>
      </c>
      <c r="J45" s="2" t="s">
        <v>1425</v>
      </c>
      <c r="K45" s="2" t="s">
        <v>633</v>
      </c>
      <c r="L45" s="2" t="s">
        <v>1426</v>
      </c>
    </row>
    <row r="46" customFormat="false" ht="23.85" hidden="false" customHeight="false" outlineLevel="0" collapsed="false">
      <c r="A46" s="2" t="s">
        <v>1427</v>
      </c>
      <c r="B46" s="2" t="s">
        <v>1428</v>
      </c>
      <c r="C46" s="2" t="s">
        <v>1429</v>
      </c>
      <c r="D46" s="2" t="n">
        <v>2026</v>
      </c>
      <c r="E46" s="2" t="s">
        <v>1430</v>
      </c>
      <c r="F46" s="2" t="s">
        <v>1431</v>
      </c>
      <c r="G46" s="2" t="s">
        <v>142</v>
      </c>
      <c r="H46" s="2" t="s">
        <v>40</v>
      </c>
      <c r="I46" s="8" t="s">
        <v>426</v>
      </c>
      <c r="J46" s="2" t="s">
        <v>1432</v>
      </c>
      <c r="K46" s="2" t="s">
        <v>1433</v>
      </c>
      <c r="L46" s="2" t="s">
        <v>1434</v>
      </c>
    </row>
    <row r="47" customFormat="false" ht="35.05" hidden="false" customHeight="false" outlineLevel="0" collapsed="false">
      <c r="A47" s="2" t="s">
        <v>1435</v>
      </c>
      <c r="B47" s="2" t="s">
        <v>1436</v>
      </c>
      <c r="C47" s="2" t="s">
        <v>1437</v>
      </c>
      <c r="D47" s="2" t="n">
        <v>2026</v>
      </c>
      <c r="E47" s="2" t="s">
        <v>1438</v>
      </c>
      <c r="F47" s="2" t="s">
        <v>1439</v>
      </c>
      <c r="G47" s="2" t="s">
        <v>1203</v>
      </c>
      <c r="H47" s="2" t="s">
        <v>40</v>
      </c>
      <c r="I47" s="8" t="s">
        <v>426</v>
      </c>
      <c r="J47" s="2" t="s">
        <v>1440</v>
      </c>
      <c r="K47" s="2" t="s">
        <v>1028</v>
      </c>
      <c r="L47" s="2" t="s">
        <v>1441</v>
      </c>
    </row>
    <row r="48" customFormat="false" ht="35.05" hidden="false" customHeight="false" outlineLevel="0" collapsed="false">
      <c r="A48" s="2" t="s">
        <v>1442</v>
      </c>
      <c r="B48" s="2" t="s">
        <v>1443</v>
      </c>
      <c r="C48" s="2" t="s">
        <v>1444</v>
      </c>
      <c r="D48" s="2"/>
      <c r="E48" s="2" t="s">
        <v>1445</v>
      </c>
      <c r="F48" s="2" t="s">
        <v>1446</v>
      </c>
      <c r="G48" s="2" t="s">
        <v>1203</v>
      </c>
      <c r="H48" s="2" t="s">
        <v>40</v>
      </c>
      <c r="I48" s="8" t="s">
        <v>426</v>
      </c>
      <c r="J48" s="2" t="s">
        <v>1447</v>
      </c>
      <c r="K48" s="2" t="s">
        <v>657</v>
      </c>
      <c r="L48" s="2" t="s">
        <v>1448</v>
      </c>
    </row>
    <row r="49" customFormat="false" ht="35.05" hidden="false" customHeight="false" outlineLevel="0" collapsed="false">
      <c r="A49" s="2" t="s">
        <v>1449</v>
      </c>
      <c r="B49" s="2" t="s">
        <v>1450</v>
      </c>
      <c r="C49" s="2" t="s">
        <v>1451</v>
      </c>
      <c r="D49" s="2" t="n">
        <v>2025</v>
      </c>
      <c r="E49" s="2" t="s">
        <v>1452</v>
      </c>
      <c r="F49" s="2" t="s">
        <v>1453</v>
      </c>
      <c r="G49" s="2" t="s">
        <v>135</v>
      </c>
      <c r="H49" s="2" t="s">
        <v>40</v>
      </c>
      <c r="I49" s="8" t="s">
        <v>426</v>
      </c>
      <c r="J49" s="2" t="s">
        <v>1454</v>
      </c>
      <c r="K49" s="2" t="s">
        <v>637</v>
      </c>
      <c r="L49" s="2"/>
    </row>
    <row r="50" customFormat="false" ht="23.85" hidden="false" customHeight="false" outlineLevel="0" collapsed="false">
      <c r="A50" s="2" t="s">
        <v>1455</v>
      </c>
      <c r="B50" s="2" t="s">
        <v>1456</v>
      </c>
      <c r="C50" s="2" t="s">
        <v>1457</v>
      </c>
      <c r="D50" s="2" t="n">
        <v>2025</v>
      </c>
      <c r="E50" s="2" t="s">
        <v>1458</v>
      </c>
      <c r="F50" s="2" t="s">
        <v>1459</v>
      </c>
      <c r="G50" s="2" t="s">
        <v>148</v>
      </c>
      <c r="H50" s="2" t="s">
        <v>40</v>
      </c>
      <c r="I50" s="8" t="s">
        <v>426</v>
      </c>
      <c r="J50" s="2" t="s">
        <v>1460</v>
      </c>
      <c r="K50" s="2" t="s">
        <v>657</v>
      </c>
      <c r="L50" s="2" t="s">
        <v>1461</v>
      </c>
    </row>
    <row r="51" customFormat="false" ht="35.05" hidden="false" customHeight="false" outlineLevel="0" collapsed="false">
      <c r="A51" s="2" t="s">
        <v>1462</v>
      </c>
      <c r="B51" s="2" t="s">
        <v>1463</v>
      </c>
      <c r="C51" s="2" t="s">
        <v>1464</v>
      </c>
      <c r="D51" s="2" t="n">
        <v>2026</v>
      </c>
      <c r="E51" s="2" t="s">
        <v>1465</v>
      </c>
      <c r="F51" s="2" t="s">
        <v>1466</v>
      </c>
      <c r="G51" s="2" t="s">
        <v>145</v>
      </c>
      <c r="H51" s="2" t="s">
        <v>40</v>
      </c>
      <c r="I51" s="8" t="s">
        <v>426</v>
      </c>
      <c r="J51" s="2" t="s">
        <v>1467</v>
      </c>
      <c r="K51" s="2" t="s">
        <v>1468</v>
      </c>
      <c r="L51" s="2"/>
    </row>
    <row r="52" customFormat="false" ht="23.85" hidden="false" customHeight="false" outlineLevel="0" collapsed="false">
      <c r="A52" s="2" t="s">
        <v>1469</v>
      </c>
      <c r="B52" s="2" t="s">
        <v>1470</v>
      </c>
      <c r="C52" s="2" t="s">
        <v>1471</v>
      </c>
      <c r="D52" s="2"/>
      <c r="E52" s="2" t="s">
        <v>1472</v>
      </c>
      <c r="F52" s="2" t="s">
        <v>1473</v>
      </c>
      <c r="G52" s="2" t="s">
        <v>94</v>
      </c>
      <c r="H52" s="2" t="s">
        <v>40</v>
      </c>
      <c r="I52" s="8" t="s">
        <v>426</v>
      </c>
      <c r="J52" s="2" t="s">
        <v>1474</v>
      </c>
      <c r="K52" s="2" t="s">
        <v>1034</v>
      </c>
      <c r="L52" s="2"/>
    </row>
    <row r="53" customFormat="false" ht="23.85" hidden="false" customHeight="false" outlineLevel="0" collapsed="false">
      <c r="A53" s="2" t="s">
        <v>1475</v>
      </c>
      <c r="B53" s="2" t="s">
        <v>1476</v>
      </c>
      <c r="C53" s="2" t="s">
        <v>1477</v>
      </c>
      <c r="D53" s="2" t="n">
        <v>2024</v>
      </c>
      <c r="E53" s="2" t="s">
        <v>1478</v>
      </c>
      <c r="F53" s="2" t="s">
        <v>1479</v>
      </c>
      <c r="G53" s="2" t="s">
        <v>1203</v>
      </c>
      <c r="H53" s="2" t="s">
        <v>40</v>
      </c>
      <c r="I53" s="10" t="s">
        <v>13</v>
      </c>
      <c r="J53" s="2" t="s">
        <v>1480</v>
      </c>
      <c r="K53" s="2" t="s">
        <v>789</v>
      </c>
      <c r="L53" s="2" t="s">
        <v>1481</v>
      </c>
    </row>
    <row r="54" customFormat="false" ht="46.25" hidden="false" customHeight="false" outlineLevel="0" collapsed="false">
      <c r="A54" s="2" t="s">
        <v>1482</v>
      </c>
      <c r="B54" s="2" t="s">
        <v>1483</v>
      </c>
      <c r="C54" s="2" t="s">
        <v>1359</v>
      </c>
      <c r="D54" s="2"/>
      <c r="E54" s="2" t="s">
        <v>1484</v>
      </c>
      <c r="F54" s="2" t="s">
        <v>1485</v>
      </c>
      <c r="G54" s="2" t="s">
        <v>1486</v>
      </c>
      <c r="H54" s="2" t="s">
        <v>40</v>
      </c>
      <c r="I54" s="9" t="s">
        <v>531</v>
      </c>
      <c r="J54" s="2" t="s">
        <v>1487</v>
      </c>
      <c r="K54" s="2" t="s">
        <v>482</v>
      </c>
      <c r="L54" s="2"/>
    </row>
  </sheetData>
  <autoFilter ref="A1:L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9"/>
    <col collapsed="false" customWidth="true" hidden="false" outlineLevel="0" max="4" min="4" style="0" width="8"/>
    <col collapsed="false" customWidth="true" hidden="false" outlineLevel="0" max="5" min="5" style="0" width="9"/>
    <col collapsed="false" customWidth="true" hidden="false" outlineLevel="0" max="13" min="6" style="0" width="4"/>
    <col collapsed="false" customWidth="true" hidden="false" outlineLevel="0" max="14" min="14" style="0" width="7"/>
    <col collapsed="false" customWidth="true" hidden="false" outlineLevel="0" max="16" min="15" style="0" width="9"/>
    <col collapsed="false" customWidth="true" hidden="false" outlineLevel="0" max="18" min="17" style="0" width="7"/>
    <col collapsed="false" customWidth="true" hidden="false" outlineLevel="0" max="19" min="19" style="0" width="14"/>
    <col collapsed="false" customWidth="true" hidden="false" outlineLevel="0" max="20" min="20" style="0" width="12"/>
    <col collapsed="false" customWidth="true" hidden="false" outlineLevel="0" max="22" min="21" style="0" width="9"/>
    <col collapsed="false" customWidth="true" hidden="false" outlineLevel="0" max="23" min="23" style="0" width="22"/>
    <col collapsed="false" customWidth="true" hidden="false" outlineLevel="0" max="27" min="24" style="0" width="9"/>
    <col collapsed="false" customWidth="true" hidden="false" outlineLevel="0" max="28" min="28" style="0" width="34"/>
    <col collapsed="false" customWidth="true" hidden="false" outlineLevel="0" max="29" min="29" style="0" width="9"/>
  </cols>
  <sheetData>
    <row r="1" customFormat="false" ht="52.2" hidden="false" customHeight="false" outlineLevel="0" collapsed="false">
      <c r="A1" s="1" t="s">
        <v>215</v>
      </c>
      <c r="B1" s="1" t="s">
        <v>1488</v>
      </c>
      <c r="C1" s="1" t="s">
        <v>1489</v>
      </c>
      <c r="D1" s="1" t="s">
        <v>57</v>
      </c>
      <c r="E1" s="1" t="s">
        <v>1490</v>
      </c>
      <c r="F1" s="1" t="s">
        <v>789</v>
      </c>
      <c r="G1" s="1" t="s">
        <v>616</v>
      </c>
      <c r="H1" s="1" t="s">
        <v>637</v>
      </c>
      <c r="I1" s="1" t="s">
        <v>1028</v>
      </c>
      <c r="J1" s="1" t="s">
        <v>1034</v>
      </c>
      <c r="K1" s="1" t="s">
        <v>235</v>
      </c>
      <c r="L1" s="1" t="s">
        <v>226</v>
      </c>
      <c r="M1" s="1" t="s">
        <v>240</v>
      </c>
      <c r="N1" s="1" t="s">
        <v>1491</v>
      </c>
      <c r="O1" s="1" t="s">
        <v>538</v>
      </c>
      <c r="P1" s="1" t="s">
        <v>1492</v>
      </c>
      <c r="Q1" s="1" t="s">
        <v>1493</v>
      </c>
      <c r="R1" s="1" t="s">
        <v>624</v>
      </c>
      <c r="S1" s="1" t="s">
        <v>1494</v>
      </c>
      <c r="T1" s="1" t="s">
        <v>1495</v>
      </c>
      <c r="U1" s="1" t="s">
        <v>1496</v>
      </c>
      <c r="V1" s="1" t="s">
        <v>1497</v>
      </c>
      <c r="W1" s="1" t="s">
        <v>1498</v>
      </c>
      <c r="X1" s="1" t="s">
        <v>1499</v>
      </c>
      <c r="Y1" s="1" t="s">
        <v>1500</v>
      </c>
      <c r="Z1" s="1" t="s">
        <v>1501</v>
      </c>
      <c r="AA1" s="1" t="s">
        <v>1502</v>
      </c>
      <c r="AB1" s="1" t="s">
        <v>1503</v>
      </c>
      <c r="AC1" s="1" t="s">
        <v>1504</v>
      </c>
    </row>
    <row r="2" customFormat="false" ht="15" hidden="false" customHeight="false" outlineLevel="0" collapsed="false">
      <c r="A2" s="2" t="s">
        <v>1155</v>
      </c>
      <c r="B2" s="2" t="s">
        <v>1505</v>
      </c>
      <c r="C2" s="2" t="s">
        <v>1506</v>
      </c>
      <c r="D2" s="2" t="s">
        <v>1507</v>
      </c>
      <c r="E2" s="2" t="s">
        <v>789</v>
      </c>
      <c r="F2" s="2" t="n">
        <v>1</v>
      </c>
      <c r="G2" s="2" t="n">
        <v>0</v>
      </c>
      <c r="H2" s="2" t="n">
        <v>0</v>
      </c>
      <c r="I2" s="2" t="n">
        <v>0</v>
      </c>
      <c r="J2" s="2" t="n">
        <v>0</v>
      </c>
      <c r="K2" s="2" t="n">
        <v>0</v>
      </c>
      <c r="L2" s="2" t="n">
        <v>0</v>
      </c>
      <c r="M2" s="2" t="n">
        <v>0</v>
      </c>
      <c r="N2" s="2" t="n">
        <v>0</v>
      </c>
      <c r="O2" s="2" t="n">
        <v>1</v>
      </c>
      <c r="P2" s="2" t="n">
        <v>0</v>
      </c>
      <c r="Q2" s="2" t="n">
        <v>1</v>
      </c>
      <c r="R2" s="2" t="n">
        <v>0</v>
      </c>
      <c r="S2" s="2" t="s">
        <v>1508</v>
      </c>
      <c r="T2" s="2" t="s">
        <v>1509</v>
      </c>
      <c r="U2" s="2" t="n">
        <v>2</v>
      </c>
      <c r="V2" s="2" t="s">
        <v>1510</v>
      </c>
      <c r="W2" s="2" t="s">
        <v>1511</v>
      </c>
      <c r="X2" s="2" t="s">
        <v>429</v>
      </c>
      <c r="Y2" s="2" t="s">
        <v>1507</v>
      </c>
      <c r="Z2" s="2" t="s">
        <v>1512</v>
      </c>
      <c r="AA2" s="2" t="s">
        <v>1507</v>
      </c>
      <c r="AB2" s="2" t="s">
        <v>1513</v>
      </c>
      <c r="AC2" s="2" t="s">
        <v>1507</v>
      </c>
    </row>
    <row r="3" customFormat="false" ht="15" hidden="false" customHeight="false" outlineLevel="0" collapsed="false">
      <c r="A3" s="2" t="s">
        <v>1164</v>
      </c>
      <c r="B3" s="2" t="s">
        <v>1514</v>
      </c>
      <c r="C3" s="2" t="s">
        <v>1506</v>
      </c>
      <c r="D3" s="2" t="s">
        <v>1510</v>
      </c>
      <c r="E3" s="2" t="s">
        <v>789</v>
      </c>
      <c r="F3" s="2" t="n">
        <v>1</v>
      </c>
      <c r="G3" s="2" t="n">
        <v>0</v>
      </c>
      <c r="H3" s="2" t="n">
        <v>0</v>
      </c>
      <c r="I3" s="2" t="n">
        <v>0</v>
      </c>
      <c r="J3" s="2" t="n">
        <v>0</v>
      </c>
      <c r="K3" s="2" t="n">
        <v>0</v>
      </c>
      <c r="L3" s="2" t="n">
        <v>0</v>
      </c>
      <c r="M3" s="2" t="n">
        <v>0</v>
      </c>
      <c r="N3" s="2" t="n">
        <v>0</v>
      </c>
      <c r="O3" s="2" t="n">
        <v>1</v>
      </c>
      <c r="P3" s="2" t="n">
        <v>0</v>
      </c>
      <c r="Q3" s="2" t="n">
        <v>0</v>
      </c>
      <c r="R3" s="2" t="n">
        <v>0</v>
      </c>
      <c r="S3" s="2" t="s">
        <v>1515</v>
      </c>
      <c r="T3" s="2" t="s">
        <v>1509</v>
      </c>
      <c r="U3" s="2" t="n">
        <v>2</v>
      </c>
      <c r="V3" s="2" t="s">
        <v>1510</v>
      </c>
      <c r="W3" s="2" t="s">
        <v>482</v>
      </c>
      <c r="X3" s="2" t="s">
        <v>482</v>
      </c>
      <c r="Y3" s="2" t="s">
        <v>1512</v>
      </c>
      <c r="Z3" s="2" t="s">
        <v>1512</v>
      </c>
      <c r="AA3" s="2" t="s">
        <v>1512</v>
      </c>
      <c r="AB3" s="2" t="s">
        <v>1516</v>
      </c>
      <c r="AC3" s="2" t="s">
        <v>1507</v>
      </c>
    </row>
    <row r="4" customFormat="false" ht="15" hidden="false" customHeight="false" outlineLevel="0" collapsed="false">
      <c r="A4" s="2" t="s">
        <v>1171</v>
      </c>
      <c r="B4" s="2" t="s">
        <v>1517</v>
      </c>
      <c r="C4" s="2" t="s">
        <v>1506</v>
      </c>
      <c r="D4" s="2" t="s">
        <v>1510</v>
      </c>
      <c r="E4" s="2" t="s">
        <v>616</v>
      </c>
      <c r="F4" s="2" t="n">
        <v>0</v>
      </c>
      <c r="G4" s="2" t="n">
        <v>1</v>
      </c>
      <c r="H4" s="2" t="n">
        <v>0</v>
      </c>
      <c r="I4" s="2" t="n">
        <v>0</v>
      </c>
      <c r="J4" s="2" t="n">
        <v>0</v>
      </c>
      <c r="K4" s="2" t="n">
        <v>0</v>
      </c>
      <c r="L4" s="2" t="n">
        <v>0</v>
      </c>
      <c r="M4" s="2" t="n">
        <v>0</v>
      </c>
      <c r="N4" s="2" t="n">
        <v>0</v>
      </c>
      <c r="O4" s="2" t="n">
        <v>1</v>
      </c>
      <c r="P4" s="2" t="n">
        <v>0</v>
      </c>
      <c r="Q4" s="2" t="n">
        <v>1</v>
      </c>
      <c r="R4" s="2" t="n">
        <v>0</v>
      </c>
      <c r="S4" s="2" t="s">
        <v>848</v>
      </c>
      <c r="T4" s="2" t="s">
        <v>1509</v>
      </c>
      <c r="U4" s="2" t="n">
        <v>2</v>
      </c>
      <c r="V4" s="2" t="s">
        <v>1510</v>
      </c>
      <c r="W4" s="2" t="s">
        <v>1518</v>
      </c>
      <c r="X4" s="2" t="s">
        <v>429</v>
      </c>
      <c r="Y4" s="2" t="s">
        <v>1507</v>
      </c>
      <c r="Z4" s="2" t="s">
        <v>1512</v>
      </c>
      <c r="AA4" s="2" t="s">
        <v>1507</v>
      </c>
      <c r="AB4" s="2" t="s">
        <v>1519</v>
      </c>
      <c r="AC4" s="2" t="s">
        <v>1507</v>
      </c>
    </row>
    <row r="5" customFormat="false" ht="23.85" hidden="false" customHeight="false" outlineLevel="0" collapsed="false">
      <c r="A5" s="2" t="s">
        <v>1178</v>
      </c>
      <c r="B5" s="2" t="s">
        <v>1520</v>
      </c>
      <c r="C5" s="2" t="s">
        <v>1506</v>
      </c>
      <c r="D5" s="2" t="s">
        <v>1510</v>
      </c>
      <c r="E5" s="2" t="s">
        <v>789</v>
      </c>
      <c r="F5" s="2" t="n">
        <v>1</v>
      </c>
      <c r="G5" s="2" t="n">
        <v>1</v>
      </c>
      <c r="H5" s="2" t="n">
        <v>0</v>
      </c>
      <c r="I5" s="2" t="n">
        <v>0</v>
      </c>
      <c r="J5" s="2" t="n">
        <v>0</v>
      </c>
      <c r="K5" s="2" t="n">
        <v>0</v>
      </c>
      <c r="L5" s="2" t="n">
        <v>0</v>
      </c>
      <c r="M5" s="2" t="n">
        <v>0</v>
      </c>
      <c r="N5" s="2" t="n">
        <v>0</v>
      </c>
      <c r="O5" s="2" t="n">
        <v>1</v>
      </c>
      <c r="P5" s="2" t="n">
        <v>0</v>
      </c>
      <c r="Q5" s="2" t="n">
        <v>1</v>
      </c>
      <c r="R5" s="2" t="n">
        <v>0</v>
      </c>
      <c r="S5" s="2" t="s">
        <v>1508</v>
      </c>
      <c r="T5" s="2" t="s">
        <v>1521</v>
      </c>
      <c r="U5" s="2" t="n">
        <v>2</v>
      </c>
      <c r="V5" s="2" t="s">
        <v>1510</v>
      </c>
      <c r="W5" s="2" t="s">
        <v>1522</v>
      </c>
      <c r="X5" s="2" t="s">
        <v>429</v>
      </c>
      <c r="Y5" s="2" t="s">
        <v>1512</v>
      </c>
      <c r="Z5" s="2" t="s">
        <v>1512</v>
      </c>
      <c r="AA5" s="2" t="s">
        <v>1512</v>
      </c>
      <c r="AB5" s="2" t="s">
        <v>1523</v>
      </c>
      <c r="AC5" s="2" t="s">
        <v>1507</v>
      </c>
    </row>
    <row r="6" customFormat="false" ht="23.85" hidden="false" customHeight="false" outlineLevel="0" collapsed="false">
      <c r="A6" s="2" t="s">
        <v>1186</v>
      </c>
      <c r="B6" s="2" t="s">
        <v>1524</v>
      </c>
      <c r="C6" s="2" t="s">
        <v>1506</v>
      </c>
      <c r="D6" s="2" t="s">
        <v>1510</v>
      </c>
      <c r="E6" s="2" t="s">
        <v>1034</v>
      </c>
      <c r="F6" s="2" t="n">
        <v>0</v>
      </c>
      <c r="G6" s="2" t="n">
        <v>0</v>
      </c>
      <c r="H6" s="2" t="n">
        <v>1</v>
      </c>
      <c r="I6" s="2" t="n">
        <v>0</v>
      </c>
      <c r="J6" s="2" t="n">
        <v>1</v>
      </c>
      <c r="K6" s="2" t="n">
        <v>0</v>
      </c>
      <c r="L6" s="2" t="n">
        <v>0</v>
      </c>
      <c r="M6" s="2" t="n">
        <v>0</v>
      </c>
      <c r="N6" s="2" t="n">
        <v>1</v>
      </c>
      <c r="O6" s="2" t="n">
        <v>0</v>
      </c>
      <c r="P6" s="2" t="n">
        <v>0</v>
      </c>
      <c r="Q6" s="2" t="n">
        <v>0</v>
      </c>
      <c r="R6" s="2" t="n">
        <v>0</v>
      </c>
      <c r="S6" s="2" t="s">
        <v>858</v>
      </c>
      <c r="T6" s="2" t="s">
        <v>1525</v>
      </c>
      <c r="U6" s="2" t="n">
        <v>4</v>
      </c>
      <c r="V6" s="2" t="s">
        <v>1507</v>
      </c>
      <c r="W6" s="2" t="s">
        <v>482</v>
      </c>
      <c r="X6" s="2" t="s">
        <v>482</v>
      </c>
      <c r="Y6" s="2" t="s">
        <v>1512</v>
      </c>
      <c r="Z6" s="2" t="s">
        <v>1507</v>
      </c>
      <c r="AA6" s="2" t="s">
        <v>1512</v>
      </c>
      <c r="AB6" s="2" t="s">
        <v>1526</v>
      </c>
      <c r="AC6" s="2" t="s">
        <v>1507</v>
      </c>
    </row>
    <row r="7" customFormat="false" ht="15" hidden="false" customHeight="false" outlineLevel="0" collapsed="false">
      <c r="A7" s="2" t="s">
        <v>1192</v>
      </c>
      <c r="B7" s="2" t="s">
        <v>1527</v>
      </c>
      <c r="C7" s="2" t="s">
        <v>1506</v>
      </c>
      <c r="D7" s="2" t="s">
        <v>1510</v>
      </c>
      <c r="E7" s="2" t="s">
        <v>1034</v>
      </c>
      <c r="F7" s="2" t="n">
        <v>0</v>
      </c>
      <c r="G7" s="2" t="n">
        <v>0</v>
      </c>
      <c r="H7" s="2" t="n">
        <v>1</v>
      </c>
      <c r="I7" s="2" t="n">
        <v>0</v>
      </c>
      <c r="J7" s="2" t="n">
        <v>1</v>
      </c>
      <c r="K7" s="2" t="n">
        <v>0</v>
      </c>
      <c r="L7" s="2" t="n">
        <v>0</v>
      </c>
      <c r="M7" s="2" t="n">
        <v>0</v>
      </c>
      <c r="N7" s="2" t="n">
        <v>1</v>
      </c>
      <c r="O7" s="2" t="n">
        <v>0</v>
      </c>
      <c r="P7" s="2" t="n">
        <v>0</v>
      </c>
      <c r="Q7" s="2" t="n">
        <v>0</v>
      </c>
      <c r="R7" s="2" t="n">
        <v>0</v>
      </c>
      <c r="S7" s="2" t="s">
        <v>858</v>
      </c>
      <c r="T7" s="2" t="s">
        <v>1528</v>
      </c>
      <c r="U7" s="2" t="n">
        <v>4</v>
      </c>
      <c r="V7" s="2" t="s">
        <v>1507</v>
      </c>
      <c r="W7" s="2" t="s">
        <v>482</v>
      </c>
      <c r="X7" s="2" t="s">
        <v>482</v>
      </c>
      <c r="Y7" s="2" t="s">
        <v>1512</v>
      </c>
      <c r="Z7" s="2" t="s">
        <v>1507</v>
      </c>
      <c r="AA7" s="2" t="s">
        <v>1512</v>
      </c>
      <c r="AB7" s="2" t="s">
        <v>1529</v>
      </c>
      <c r="AC7" s="2" t="s">
        <v>1507</v>
      </c>
    </row>
    <row r="8" customFormat="false" ht="23.85" hidden="false" customHeight="false" outlineLevel="0" collapsed="false">
      <c r="A8" s="2" t="s">
        <v>1198</v>
      </c>
      <c r="B8" s="2" t="s">
        <v>1530</v>
      </c>
      <c r="C8" s="2" t="s">
        <v>1506</v>
      </c>
      <c r="D8" s="2" t="s">
        <v>1507</v>
      </c>
      <c r="E8" s="2" t="s">
        <v>637</v>
      </c>
      <c r="F8" s="2" t="n">
        <v>0</v>
      </c>
      <c r="G8" s="2" t="n">
        <v>0</v>
      </c>
      <c r="H8" s="2" t="n">
        <v>1</v>
      </c>
      <c r="I8" s="2" t="n">
        <v>0</v>
      </c>
      <c r="J8" s="2" t="n">
        <v>0</v>
      </c>
      <c r="K8" s="2" t="n">
        <v>0</v>
      </c>
      <c r="L8" s="2" t="n">
        <v>0</v>
      </c>
      <c r="M8" s="2" t="n">
        <v>0</v>
      </c>
      <c r="N8" s="2" t="n">
        <v>0</v>
      </c>
      <c r="O8" s="2" t="n">
        <v>0</v>
      </c>
      <c r="P8" s="2" t="n">
        <v>1</v>
      </c>
      <c r="Q8" s="2" t="n">
        <v>1</v>
      </c>
      <c r="R8" s="2" t="n">
        <v>0</v>
      </c>
      <c r="S8" s="2" t="s">
        <v>854</v>
      </c>
      <c r="T8" s="2" t="s">
        <v>1531</v>
      </c>
      <c r="U8" s="2" t="n">
        <v>4</v>
      </c>
      <c r="V8" s="2" t="s">
        <v>1507</v>
      </c>
      <c r="W8" s="2" t="s">
        <v>1532</v>
      </c>
      <c r="X8" s="2" t="s">
        <v>435</v>
      </c>
      <c r="Y8" s="2" t="s">
        <v>1507</v>
      </c>
      <c r="Z8" s="2" t="s">
        <v>1510</v>
      </c>
      <c r="AA8" s="2" t="s">
        <v>1512</v>
      </c>
      <c r="AB8" s="2" t="s">
        <v>1533</v>
      </c>
      <c r="AC8" s="2" t="s">
        <v>1507</v>
      </c>
    </row>
    <row r="9" customFormat="false" ht="23.85" hidden="false" customHeight="false" outlineLevel="0" collapsed="false">
      <c r="A9" s="2" t="s">
        <v>1207</v>
      </c>
      <c r="B9" s="2" t="s">
        <v>1534</v>
      </c>
      <c r="C9" s="2" t="s">
        <v>1506</v>
      </c>
      <c r="D9" s="2" t="s">
        <v>1510</v>
      </c>
      <c r="E9" s="2" t="s">
        <v>1028</v>
      </c>
      <c r="F9" s="2" t="n">
        <v>0</v>
      </c>
      <c r="G9" s="2" t="n">
        <v>1</v>
      </c>
      <c r="H9" s="2" t="n">
        <v>0</v>
      </c>
      <c r="I9" s="2" t="n">
        <v>1</v>
      </c>
      <c r="J9" s="2" t="n">
        <v>0</v>
      </c>
      <c r="K9" s="2" t="n">
        <v>0</v>
      </c>
      <c r="L9" s="2" t="n">
        <v>0</v>
      </c>
      <c r="M9" s="2" t="n">
        <v>0</v>
      </c>
      <c r="N9" s="2" t="n">
        <v>1</v>
      </c>
      <c r="O9" s="2" t="n">
        <v>0</v>
      </c>
      <c r="P9" s="2" t="n">
        <v>1</v>
      </c>
      <c r="Q9" s="2" t="n">
        <v>0</v>
      </c>
      <c r="R9" s="2" t="n">
        <v>0</v>
      </c>
      <c r="S9" s="2" t="s">
        <v>854</v>
      </c>
      <c r="T9" s="2" t="s">
        <v>1535</v>
      </c>
      <c r="U9" s="2" t="n">
        <v>4</v>
      </c>
      <c r="V9" s="2" t="s">
        <v>1507</v>
      </c>
      <c r="W9" s="2" t="s">
        <v>482</v>
      </c>
      <c r="X9" s="2" t="s">
        <v>482</v>
      </c>
      <c r="Y9" s="2" t="s">
        <v>1512</v>
      </c>
      <c r="Z9" s="2" t="s">
        <v>1512</v>
      </c>
      <c r="AA9" s="2" t="s">
        <v>1512</v>
      </c>
      <c r="AB9" s="2" t="s">
        <v>1536</v>
      </c>
      <c r="AC9" s="2" t="s">
        <v>1507</v>
      </c>
    </row>
    <row r="10" customFormat="false" ht="23.85" hidden="false" customHeight="false" outlineLevel="0" collapsed="false">
      <c r="A10" s="2" t="s">
        <v>1215</v>
      </c>
      <c r="B10" s="2" t="s">
        <v>1537</v>
      </c>
      <c r="C10" s="2" t="s">
        <v>1506</v>
      </c>
      <c r="D10" s="2" t="s">
        <v>1507</v>
      </c>
      <c r="E10" s="2" t="s">
        <v>1034</v>
      </c>
      <c r="F10" s="2" t="n">
        <v>0</v>
      </c>
      <c r="G10" s="2" t="n">
        <v>0</v>
      </c>
      <c r="H10" s="2" t="n">
        <v>0</v>
      </c>
      <c r="I10" s="2" t="n">
        <v>0</v>
      </c>
      <c r="J10" s="2" t="n">
        <v>1</v>
      </c>
      <c r="K10" s="2" t="n">
        <v>0</v>
      </c>
      <c r="L10" s="2" t="n">
        <v>0</v>
      </c>
      <c r="M10" s="2" t="n">
        <v>0</v>
      </c>
      <c r="N10" s="2" t="n">
        <v>0</v>
      </c>
      <c r="O10" s="2" t="n">
        <v>0</v>
      </c>
      <c r="P10" s="2" t="n">
        <v>1</v>
      </c>
      <c r="Q10" s="2" t="n">
        <v>0</v>
      </c>
      <c r="R10" s="2" t="n">
        <v>0</v>
      </c>
      <c r="S10" s="2" t="s">
        <v>858</v>
      </c>
      <c r="T10" s="2" t="s">
        <v>1538</v>
      </c>
      <c r="U10" s="2" t="n">
        <v>4</v>
      </c>
      <c r="V10" s="2" t="s">
        <v>1507</v>
      </c>
      <c r="W10" s="2" t="s">
        <v>482</v>
      </c>
      <c r="X10" s="2" t="s">
        <v>482</v>
      </c>
      <c r="Y10" s="2" t="s">
        <v>1512</v>
      </c>
      <c r="Z10" s="2" t="s">
        <v>1512</v>
      </c>
      <c r="AA10" s="2" t="s">
        <v>1507</v>
      </c>
      <c r="AB10" s="2" t="s">
        <v>1539</v>
      </c>
      <c r="AC10" s="2" t="s">
        <v>1507</v>
      </c>
    </row>
    <row r="11" customFormat="false" ht="15" hidden="false" customHeight="false" outlineLevel="0" collapsed="false">
      <c r="A11" s="2" t="s">
        <v>847</v>
      </c>
      <c r="B11" s="2" t="s">
        <v>1540</v>
      </c>
      <c r="C11" s="2" t="s">
        <v>1506</v>
      </c>
      <c r="D11" s="2" t="s">
        <v>1507</v>
      </c>
      <c r="E11" s="2" t="s">
        <v>226</v>
      </c>
      <c r="F11" s="2" t="n">
        <v>0</v>
      </c>
      <c r="G11" s="2" t="n">
        <v>0</v>
      </c>
      <c r="H11" s="2" t="n">
        <v>0</v>
      </c>
      <c r="I11" s="2" t="n">
        <v>0</v>
      </c>
      <c r="J11" s="2" t="n">
        <v>0</v>
      </c>
      <c r="K11" s="2" t="n">
        <v>0</v>
      </c>
      <c r="L11" s="2" t="n">
        <v>1</v>
      </c>
      <c r="M11" s="2" t="n">
        <v>0</v>
      </c>
      <c r="N11" s="2" t="n">
        <v>0</v>
      </c>
      <c r="O11" s="2" t="n">
        <v>1</v>
      </c>
      <c r="P11" s="2" t="n">
        <v>0</v>
      </c>
      <c r="Q11" s="2" t="n">
        <v>0</v>
      </c>
      <c r="R11" s="2" t="n">
        <v>0</v>
      </c>
      <c r="S11" s="2" t="s">
        <v>848</v>
      </c>
      <c r="T11" s="2" t="s">
        <v>1541</v>
      </c>
      <c r="U11" s="2" t="n">
        <v>1</v>
      </c>
      <c r="V11" s="2" t="s">
        <v>1510</v>
      </c>
      <c r="W11" s="2" t="s">
        <v>482</v>
      </c>
      <c r="X11" s="2" t="s">
        <v>482</v>
      </c>
      <c r="Y11" s="2" t="s">
        <v>1512</v>
      </c>
      <c r="Z11" s="2" t="s">
        <v>1510</v>
      </c>
      <c r="AA11" s="2" t="s">
        <v>1512</v>
      </c>
      <c r="AB11" s="2" t="s">
        <v>1542</v>
      </c>
      <c r="AC11" s="2" t="s">
        <v>1507</v>
      </c>
    </row>
    <row r="12" customFormat="false" ht="15" hidden="false" customHeight="false" outlineLevel="0" collapsed="false">
      <c r="A12" s="2" t="s">
        <v>1227</v>
      </c>
      <c r="B12" s="2" t="s">
        <v>1543</v>
      </c>
      <c r="C12" s="2" t="s">
        <v>1506</v>
      </c>
      <c r="D12" s="2" t="s">
        <v>1507</v>
      </c>
      <c r="E12" s="2" t="s">
        <v>226</v>
      </c>
      <c r="F12" s="2" t="n">
        <v>0</v>
      </c>
      <c r="G12" s="2" t="n">
        <v>0</v>
      </c>
      <c r="H12" s="2" t="n">
        <v>0</v>
      </c>
      <c r="I12" s="2" t="n">
        <v>0</v>
      </c>
      <c r="J12" s="2" t="n">
        <v>0</v>
      </c>
      <c r="K12" s="2" t="n">
        <v>0</v>
      </c>
      <c r="L12" s="2" t="n">
        <v>1</v>
      </c>
      <c r="M12" s="2" t="n">
        <v>0</v>
      </c>
      <c r="N12" s="2" t="n">
        <v>0</v>
      </c>
      <c r="O12" s="2" t="n">
        <v>0</v>
      </c>
      <c r="P12" s="2" t="n">
        <v>0</v>
      </c>
      <c r="Q12" s="2" t="n">
        <v>0</v>
      </c>
      <c r="R12" s="2" t="n">
        <v>1</v>
      </c>
      <c r="S12" s="2" t="s">
        <v>848</v>
      </c>
      <c r="T12" s="2" t="s">
        <v>1541</v>
      </c>
      <c r="U12" s="2" t="n">
        <v>2</v>
      </c>
      <c r="V12" s="2" t="s">
        <v>1510</v>
      </c>
      <c r="W12" s="2" t="s">
        <v>482</v>
      </c>
      <c r="X12" s="2" t="s">
        <v>482</v>
      </c>
      <c r="Y12" s="2" t="s">
        <v>1512</v>
      </c>
      <c r="Z12" s="2" t="s">
        <v>1510</v>
      </c>
      <c r="AA12" s="2" t="s">
        <v>1507</v>
      </c>
      <c r="AB12" s="2" t="s">
        <v>1544</v>
      </c>
      <c r="AC12" s="2" t="s">
        <v>1510</v>
      </c>
    </row>
    <row r="13" customFormat="false" ht="35.05" hidden="false" customHeight="false" outlineLevel="0" collapsed="false">
      <c r="A13" s="2" t="s">
        <v>1233</v>
      </c>
      <c r="B13" s="2" t="s">
        <v>1545</v>
      </c>
      <c r="C13" s="2" t="s">
        <v>1506</v>
      </c>
      <c r="D13" s="2" t="s">
        <v>1507</v>
      </c>
      <c r="E13" s="2" t="s">
        <v>226</v>
      </c>
      <c r="F13" s="2" t="n">
        <v>0</v>
      </c>
      <c r="G13" s="2" t="n">
        <v>0</v>
      </c>
      <c r="H13" s="2" t="n">
        <v>0</v>
      </c>
      <c r="I13" s="2" t="n">
        <v>0</v>
      </c>
      <c r="J13" s="2" t="n">
        <v>0</v>
      </c>
      <c r="K13" s="2" t="n">
        <v>0</v>
      </c>
      <c r="L13" s="2" t="n">
        <v>1</v>
      </c>
      <c r="M13" s="2" t="n">
        <v>0</v>
      </c>
      <c r="N13" s="2" t="n">
        <v>0</v>
      </c>
      <c r="O13" s="2" t="n">
        <v>1</v>
      </c>
      <c r="P13" s="2" t="n">
        <v>0</v>
      </c>
      <c r="Q13" s="2" t="n">
        <v>1</v>
      </c>
      <c r="R13" s="2" t="n">
        <v>0</v>
      </c>
      <c r="S13" s="2" t="s">
        <v>848</v>
      </c>
      <c r="T13" s="2" t="s">
        <v>1546</v>
      </c>
      <c r="U13" s="2" t="n">
        <v>2</v>
      </c>
      <c r="V13" s="2" t="s">
        <v>1510</v>
      </c>
      <c r="W13" s="2" t="s">
        <v>1547</v>
      </c>
      <c r="X13" s="2" t="s">
        <v>429</v>
      </c>
      <c r="Y13" s="2" t="s">
        <v>1512</v>
      </c>
      <c r="Z13" s="2" t="s">
        <v>1510</v>
      </c>
      <c r="AA13" s="2" t="s">
        <v>1512</v>
      </c>
      <c r="AB13" s="2" t="s">
        <v>1548</v>
      </c>
      <c r="AC13" s="2" t="s">
        <v>1510</v>
      </c>
    </row>
    <row r="14" customFormat="false" ht="23.85" hidden="false" customHeight="false" outlineLevel="0" collapsed="false">
      <c r="A14" s="2" t="s">
        <v>1238</v>
      </c>
      <c r="B14" s="2" t="s">
        <v>1549</v>
      </c>
      <c r="C14" s="2" t="s">
        <v>1506</v>
      </c>
      <c r="D14" s="2" t="s">
        <v>1507</v>
      </c>
      <c r="E14" s="2" t="s">
        <v>235</v>
      </c>
      <c r="F14" s="2" t="n">
        <v>0</v>
      </c>
      <c r="G14" s="2" t="n">
        <v>0</v>
      </c>
      <c r="H14" s="2" t="n">
        <v>0</v>
      </c>
      <c r="I14" s="2" t="n">
        <v>0</v>
      </c>
      <c r="J14" s="2" t="n">
        <v>0</v>
      </c>
      <c r="K14" s="2" t="n">
        <v>1</v>
      </c>
      <c r="L14" s="2" t="n">
        <v>0</v>
      </c>
      <c r="M14" s="2" t="n">
        <v>0</v>
      </c>
      <c r="N14" s="2" t="n">
        <v>1</v>
      </c>
      <c r="O14" s="2" t="n">
        <v>1</v>
      </c>
      <c r="P14" s="2" t="n">
        <v>0</v>
      </c>
      <c r="Q14" s="2" t="n">
        <v>0</v>
      </c>
      <c r="R14" s="2" t="n">
        <v>0</v>
      </c>
      <c r="S14" s="2" t="s">
        <v>1550</v>
      </c>
      <c r="T14" s="2" t="s">
        <v>1541</v>
      </c>
      <c r="U14" s="2" t="n">
        <v>1</v>
      </c>
      <c r="V14" s="2" t="s">
        <v>1510</v>
      </c>
      <c r="W14" s="2" t="s">
        <v>482</v>
      </c>
      <c r="X14" s="2" t="s">
        <v>482</v>
      </c>
      <c r="Y14" s="2" t="s">
        <v>1512</v>
      </c>
      <c r="Z14" s="2" t="s">
        <v>1510</v>
      </c>
      <c r="AA14" s="2" t="s">
        <v>1512</v>
      </c>
      <c r="AB14" s="2" t="s">
        <v>1551</v>
      </c>
      <c r="AC14" s="2" t="s">
        <v>1507</v>
      </c>
    </row>
    <row r="15" customFormat="false" ht="23.85" hidden="false" customHeight="false" outlineLevel="0" collapsed="false">
      <c r="A15" s="2" t="s">
        <v>1245</v>
      </c>
      <c r="B15" s="2" t="s">
        <v>1552</v>
      </c>
      <c r="C15" s="2" t="s">
        <v>1506</v>
      </c>
      <c r="D15" s="2" t="s">
        <v>1507</v>
      </c>
      <c r="E15" s="2" t="s">
        <v>240</v>
      </c>
      <c r="F15" s="2" t="n">
        <v>0</v>
      </c>
      <c r="G15" s="2" t="n">
        <v>0</v>
      </c>
      <c r="H15" s="2" t="n">
        <v>0</v>
      </c>
      <c r="I15" s="2" t="n">
        <v>0</v>
      </c>
      <c r="J15" s="2" t="n">
        <v>0</v>
      </c>
      <c r="K15" s="2" t="n">
        <v>0</v>
      </c>
      <c r="L15" s="2" t="n">
        <v>0</v>
      </c>
      <c r="M15" s="2" t="n">
        <v>1</v>
      </c>
      <c r="N15" s="2" t="n">
        <v>1</v>
      </c>
      <c r="O15" s="2" t="n">
        <v>0</v>
      </c>
      <c r="P15" s="2" t="n">
        <v>0</v>
      </c>
      <c r="Q15" s="2" t="n">
        <v>1</v>
      </c>
      <c r="R15" s="2" t="n">
        <v>0</v>
      </c>
      <c r="S15" s="2" t="s">
        <v>862</v>
      </c>
      <c r="T15" s="2" t="s">
        <v>1553</v>
      </c>
      <c r="U15" s="2" t="n">
        <v>1</v>
      </c>
      <c r="V15" s="2" t="s">
        <v>1510</v>
      </c>
      <c r="W15" s="2" t="s">
        <v>1554</v>
      </c>
      <c r="X15" s="2" t="s">
        <v>429</v>
      </c>
      <c r="Y15" s="2" t="s">
        <v>1512</v>
      </c>
      <c r="Z15" s="2" t="s">
        <v>1507</v>
      </c>
      <c r="AA15" s="2" t="s">
        <v>1512</v>
      </c>
      <c r="AB15" s="2" t="s">
        <v>1555</v>
      </c>
      <c r="AC15" s="2" t="s">
        <v>1510</v>
      </c>
    </row>
    <row r="16" customFormat="false" ht="23.85" hidden="false" customHeight="false" outlineLevel="0" collapsed="false">
      <c r="A16" s="2" t="s">
        <v>843</v>
      </c>
      <c r="B16" s="2" t="s">
        <v>1556</v>
      </c>
      <c r="C16" s="2" t="s">
        <v>1506</v>
      </c>
      <c r="D16" s="2" t="s">
        <v>1507</v>
      </c>
      <c r="E16" s="2" t="s">
        <v>240</v>
      </c>
      <c r="F16" s="2" t="n">
        <v>0</v>
      </c>
      <c r="G16" s="2" t="n">
        <v>0</v>
      </c>
      <c r="H16" s="2" t="n">
        <v>0</v>
      </c>
      <c r="I16" s="2" t="n">
        <v>0</v>
      </c>
      <c r="J16" s="2" t="n">
        <v>0</v>
      </c>
      <c r="K16" s="2" t="n">
        <v>0</v>
      </c>
      <c r="L16" s="2" t="n">
        <v>0</v>
      </c>
      <c r="M16" s="2" t="n">
        <v>1</v>
      </c>
      <c r="N16" s="2" t="n">
        <v>1</v>
      </c>
      <c r="O16" s="2" t="n">
        <v>0</v>
      </c>
      <c r="P16" s="2" t="n">
        <v>0</v>
      </c>
      <c r="Q16" s="2" t="n">
        <v>0</v>
      </c>
      <c r="R16" s="2" t="n">
        <v>0</v>
      </c>
      <c r="S16" s="2" t="s">
        <v>862</v>
      </c>
      <c r="T16" s="2" t="s">
        <v>1553</v>
      </c>
      <c r="U16" s="2" t="n">
        <v>1</v>
      </c>
      <c r="V16" s="2" t="s">
        <v>1510</v>
      </c>
      <c r="W16" s="2" t="s">
        <v>482</v>
      </c>
      <c r="X16" s="2" t="s">
        <v>482</v>
      </c>
      <c r="Y16" s="2" t="s">
        <v>1512</v>
      </c>
      <c r="Z16" s="2" t="s">
        <v>1507</v>
      </c>
      <c r="AA16" s="2" t="s">
        <v>1507</v>
      </c>
      <c r="AB16" s="2" t="s">
        <v>1557</v>
      </c>
      <c r="AC16" s="2" t="s">
        <v>1507</v>
      </c>
    </row>
    <row r="17" customFormat="false" ht="23.85" hidden="false" customHeight="false" outlineLevel="0" collapsed="false">
      <c r="A17" s="2" t="s">
        <v>1255</v>
      </c>
      <c r="B17" s="2" t="s">
        <v>1558</v>
      </c>
      <c r="C17" s="2" t="s">
        <v>1506</v>
      </c>
      <c r="D17" s="2" t="s">
        <v>1507</v>
      </c>
      <c r="E17" s="2" t="s">
        <v>240</v>
      </c>
      <c r="F17" s="2" t="n">
        <v>0</v>
      </c>
      <c r="G17" s="2" t="n">
        <v>0</v>
      </c>
      <c r="H17" s="2" t="n">
        <v>0</v>
      </c>
      <c r="I17" s="2" t="n">
        <v>0</v>
      </c>
      <c r="J17" s="2" t="n">
        <v>0</v>
      </c>
      <c r="K17" s="2" t="n">
        <v>0</v>
      </c>
      <c r="L17" s="2" t="n">
        <v>0</v>
      </c>
      <c r="M17" s="2" t="n">
        <v>1</v>
      </c>
      <c r="N17" s="2" t="n">
        <v>1</v>
      </c>
      <c r="O17" s="2" t="n">
        <v>0</v>
      </c>
      <c r="P17" s="2" t="n">
        <v>0</v>
      </c>
      <c r="Q17" s="2" t="n">
        <v>0</v>
      </c>
      <c r="R17" s="2" t="n">
        <v>0</v>
      </c>
      <c r="S17" s="2" t="s">
        <v>862</v>
      </c>
      <c r="T17" s="2" t="s">
        <v>1553</v>
      </c>
      <c r="U17" s="2" t="n">
        <v>1</v>
      </c>
      <c r="V17" s="2" t="s">
        <v>1510</v>
      </c>
      <c r="W17" s="2" t="s">
        <v>482</v>
      </c>
      <c r="X17" s="2" t="s">
        <v>482</v>
      </c>
      <c r="Y17" s="2" t="s">
        <v>1512</v>
      </c>
      <c r="Z17" s="2" t="s">
        <v>1507</v>
      </c>
      <c r="AA17" s="2" t="s">
        <v>1512</v>
      </c>
      <c r="AB17" s="2" t="s">
        <v>1559</v>
      </c>
      <c r="AC17" s="2" t="s">
        <v>1507</v>
      </c>
    </row>
    <row r="18" customFormat="false" ht="15" hidden="false" customHeight="false" outlineLevel="0" collapsed="false">
      <c r="A18" s="2" t="s">
        <v>1261</v>
      </c>
      <c r="B18" s="2" t="s">
        <v>1560</v>
      </c>
      <c r="C18" s="2" t="s">
        <v>1506</v>
      </c>
      <c r="D18" s="2" t="s">
        <v>1507</v>
      </c>
      <c r="E18" s="2" t="s">
        <v>226</v>
      </c>
      <c r="F18" s="2" t="n">
        <v>0</v>
      </c>
      <c r="G18" s="2" t="n">
        <v>0</v>
      </c>
      <c r="H18" s="2" t="n">
        <v>0</v>
      </c>
      <c r="I18" s="2" t="n">
        <v>0</v>
      </c>
      <c r="J18" s="2" t="n">
        <v>0</v>
      </c>
      <c r="K18" s="2" t="n">
        <v>0</v>
      </c>
      <c r="L18" s="2" t="n">
        <v>1</v>
      </c>
      <c r="M18" s="2" t="n">
        <v>0</v>
      </c>
      <c r="N18" s="2" t="n">
        <v>0</v>
      </c>
      <c r="O18" s="2" t="n">
        <v>0</v>
      </c>
      <c r="P18" s="2" t="n">
        <v>0</v>
      </c>
      <c r="Q18" s="2" t="n">
        <v>1</v>
      </c>
      <c r="R18" s="2" t="n">
        <v>0</v>
      </c>
      <c r="S18" s="2" t="s">
        <v>848</v>
      </c>
      <c r="T18" s="2" t="s">
        <v>1541</v>
      </c>
      <c r="U18" s="2" t="n">
        <v>1</v>
      </c>
      <c r="V18" s="2" t="s">
        <v>1510</v>
      </c>
      <c r="W18" s="2" t="s">
        <v>1511</v>
      </c>
      <c r="X18" s="2" t="s">
        <v>429</v>
      </c>
      <c r="Y18" s="2" t="s">
        <v>1507</v>
      </c>
      <c r="Z18" s="2" t="s">
        <v>1510</v>
      </c>
      <c r="AA18" s="2" t="s">
        <v>1512</v>
      </c>
      <c r="AB18" s="2" t="s">
        <v>1561</v>
      </c>
      <c r="AC18" s="2" t="s">
        <v>1507</v>
      </c>
    </row>
    <row r="19" customFormat="false" ht="23.85" hidden="false" customHeight="false" outlineLevel="0" collapsed="false">
      <c r="A19" s="2" t="s">
        <v>1268</v>
      </c>
      <c r="B19" s="2" t="s">
        <v>1562</v>
      </c>
      <c r="C19" s="2" t="s">
        <v>1506</v>
      </c>
      <c r="D19" s="2" t="s">
        <v>1507</v>
      </c>
      <c r="E19" s="2" t="s">
        <v>226</v>
      </c>
      <c r="F19" s="2" t="n">
        <v>0</v>
      </c>
      <c r="G19" s="2" t="n">
        <v>0</v>
      </c>
      <c r="H19" s="2" t="n">
        <v>0</v>
      </c>
      <c r="I19" s="2" t="n">
        <v>0</v>
      </c>
      <c r="J19" s="2" t="n">
        <v>0</v>
      </c>
      <c r="K19" s="2" t="n">
        <v>0</v>
      </c>
      <c r="L19" s="2" t="n">
        <v>1</v>
      </c>
      <c r="M19" s="2" t="n">
        <v>0</v>
      </c>
      <c r="N19" s="2" t="n">
        <v>0</v>
      </c>
      <c r="O19" s="2" t="n">
        <v>0</v>
      </c>
      <c r="P19" s="2" t="n">
        <v>0</v>
      </c>
      <c r="Q19" s="2" t="n">
        <v>1</v>
      </c>
      <c r="R19" s="2" t="n">
        <v>0</v>
      </c>
      <c r="S19" s="2" t="s">
        <v>848</v>
      </c>
      <c r="T19" s="2" t="s">
        <v>1541</v>
      </c>
      <c r="U19" s="2" t="n">
        <v>1</v>
      </c>
      <c r="V19" s="2" t="s">
        <v>1510</v>
      </c>
      <c r="W19" s="2" t="s">
        <v>1511</v>
      </c>
      <c r="X19" s="2" t="s">
        <v>429</v>
      </c>
      <c r="Y19" s="2" t="s">
        <v>1507</v>
      </c>
      <c r="Z19" s="2" t="s">
        <v>1510</v>
      </c>
      <c r="AA19" s="2" t="s">
        <v>1507</v>
      </c>
      <c r="AB19" s="2" t="s">
        <v>1563</v>
      </c>
      <c r="AC19" s="2" t="s">
        <v>1510</v>
      </c>
    </row>
    <row r="20" customFormat="false" ht="15" hidden="false" customHeight="false" outlineLevel="0" collapsed="false">
      <c r="A20" s="2" t="s">
        <v>1279</v>
      </c>
      <c r="B20" s="2" t="s">
        <v>1564</v>
      </c>
      <c r="C20" s="2" t="s">
        <v>1506</v>
      </c>
      <c r="D20" s="2" t="s">
        <v>1510</v>
      </c>
      <c r="E20" s="2" t="s">
        <v>226</v>
      </c>
      <c r="F20" s="2" t="n">
        <v>0</v>
      </c>
      <c r="G20" s="2" t="n">
        <v>0</v>
      </c>
      <c r="H20" s="2" t="n">
        <v>0</v>
      </c>
      <c r="I20" s="2" t="n">
        <v>0</v>
      </c>
      <c r="J20" s="2" t="n">
        <v>0</v>
      </c>
      <c r="K20" s="2" t="n">
        <v>0</v>
      </c>
      <c r="L20" s="2" t="n">
        <v>1</v>
      </c>
      <c r="M20" s="2" t="n">
        <v>0</v>
      </c>
      <c r="N20" s="2" t="n">
        <v>0</v>
      </c>
      <c r="O20" s="2" t="n">
        <v>0</v>
      </c>
      <c r="P20" s="2" t="n">
        <v>1</v>
      </c>
      <c r="Q20" s="2" t="n">
        <v>1</v>
      </c>
      <c r="R20" s="2" t="n">
        <v>0</v>
      </c>
      <c r="S20" s="2" t="s">
        <v>848</v>
      </c>
      <c r="T20" s="2" t="s">
        <v>1541</v>
      </c>
      <c r="U20" s="2" t="n">
        <v>1</v>
      </c>
      <c r="V20" s="2" t="s">
        <v>1510</v>
      </c>
      <c r="W20" s="2" t="s">
        <v>1511</v>
      </c>
      <c r="X20" s="2" t="s">
        <v>429</v>
      </c>
      <c r="Y20" s="2" t="s">
        <v>1507</v>
      </c>
      <c r="Z20" s="2" t="s">
        <v>1510</v>
      </c>
      <c r="AA20" s="2" t="s">
        <v>1512</v>
      </c>
      <c r="AB20" s="2" t="s">
        <v>1565</v>
      </c>
      <c r="AC20" s="2" t="s">
        <v>1507</v>
      </c>
    </row>
    <row r="21" customFormat="false" ht="23.85" hidden="false" customHeight="false" outlineLevel="0" collapsed="false">
      <c r="A21" s="2" t="s">
        <v>1285</v>
      </c>
      <c r="B21" s="2" t="s">
        <v>1566</v>
      </c>
      <c r="C21" s="2" t="s">
        <v>1506</v>
      </c>
      <c r="D21" s="2" t="s">
        <v>1507</v>
      </c>
      <c r="E21" s="2" t="s">
        <v>226</v>
      </c>
      <c r="F21" s="2" t="n">
        <v>0</v>
      </c>
      <c r="G21" s="2" t="n">
        <v>0</v>
      </c>
      <c r="H21" s="2" t="n">
        <v>0</v>
      </c>
      <c r="I21" s="2" t="n">
        <v>0</v>
      </c>
      <c r="J21" s="2" t="n">
        <v>0</v>
      </c>
      <c r="K21" s="2" t="n">
        <v>0</v>
      </c>
      <c r="L21" s="2" t="n">
        <v>1</v>
      </c>
      <c r="M21" s="2" t="n">
        <v>0</v>
      </c>
      <c r="N21" s="2" t="n">
        <v>0</v>
      </c>
      <c r="O21" s="2" t="n">
        <v>0</v>
      </c>
      <c r="P21" s="2" t="n">
        <v>0</v>
      </c>
      <c r="Q21" s="2" t="n">
        <v>1</v>
      </c>
      <c r="R21" s="2" t="n">
        <v>0</v>
      </c>
      <c r="S21" s="2" t="s">
        <v>848</v>
      </c>
      <c r="T21" s="2" t="s">
        <v>1541</v>
      </c>
      <c r="U21" s="2" t="n">
        <v>1</v>
      </c>
      <c r="V21" s="2" t="s">
        <v>1510</v>
      </c>
      <c r="W21" s="2" t="s">
        <v>1511</v>
      </c>
      <c r="X21" s="2" t="s">
        <v>429</v>
      </c>
      <c r="Y21" s="2" t="s">
        <v>1507</v>
      </c>
      <c r="Z21" s="2" t="s">
        <v>1510</v>
      </c>
      <c r="AA21" s="2" t="s">
        <v>1512</v>
      </c>
      <c r="AB21" s="2" t="s">
        <v>1567</v>
      </c>
      <c r="AC21" s="2" t="s">
        <v>1507</v>
      </c>
    </row>
    <row r="22" customFormat="false" ht="23.85" hidden="false" customHeight="false" outlineLevel="0" collapsed="false">
      <c r="A22" s="2" t="s">
        <v>1292</v>
      </c>
      <c r="B22" s="2" t="s">
        <v>1568</v>
      </c>
      <c r="C22" s="2" t="s">
        <v>1506</v>
      </c>
      <c r="D22" s="2" t="s">
        <v>1507</v>
      </c>
      <c r="E22" s="2" t="s">
        <v>226</v>
      </c>
      <c r="F22" s="2" t="n">
        <v>0</v>
      </c>
      <c r="G22" s="2" t="n">
        <v>0</v>
      </c>
      <c r="H22" s="2" t="n">
        <v>0</v>
      </c>
      <c r="I22" s="2" t="n">
        <v>0</v>
      </c>
      <c r="J22" s="2" t="n">
        <v>0</v>
      </c>
      <c r="K22" s="2" t="n">
        <v>0</v>
      </c>
      <c r="L22" s="2" t="n">
        <v>1</v>
      </c>
      <c r="M22" s="2" t="n">
        <v>0</v>
      </c>
      <c r="N22" s="2" t="n">
        <v>0</v>
      </c>
      <c r="O22" s="2" t="n">
        <v>0</v>
      </c>
      <c r="P22" s="2" t="n">
        <v>1</v>
      </c>
      <c r="Q22" s="2" t="n">
        <v>1</v>
      </c>
      <c r="R22" s="2" t="n">
        <v>0</v>
      </c>
      <c r="S22" s="2" t="s">
        <v>848</v>
      </c>
      <c r="T22" s="2" t="s">
        <v>1541</v>
      </c>
      <c r="U22" s="2" t="n">
        <v>4</v>
      </c>
      <c r="V22" s="2" t="s">
        <v>1507</v>
      </c>
      <c r="W22" s="2" t="s">
        <v>1569</v>
      </c>
      <c r="X22" s="2" t="s">
        <v>435</v>
      </c>
      <c r="Y22" s="2" t="s">
        <v>1507</v>
      </c>
      <c r="Z22" s="2" t="s">
        <v>1510</v>
      </c>
      <c r="AA22" s="2" t="s">
        <v>1512</v>
      </c>
      <c r="AB22" s="2" t="s">
        <v>1570</v>
      </c>
      <c r="AC22" s="2" t="s">
        <v>1507</v>
      </c>
    </row>
    <row r="23" customFormat="false" ht="23.85" hidden="false" customHeight="false" outlineLevel="0" collapsed="false">
      <c r="A23" s="2" t="s">
        <v>1299</v>
      </c>
      <c r="B23" s="2" t="s">
        <v>1571</v>
      </c>
      <c r="C23" s="2" t="s">
        <v>1506</v>
      </c>
      <c r="D23" s="2" t="s">
        <v>1510</v>
      </c>
      <c r="E23" s="2" t="s">
        <v>226</v>
      </c>
      <c r="F23" s="2" t="n">
        <v>0</v>
      </c>
      <c r="G23" s="2" t="n">
        <v>0</v>
      </c>
      <c r="H23" s="2" t="n">
        <v>0</v>
      </c>
      <c r="I23" s="2" t="n">
        <v>0</v>
      </c>
      <c r="J23" s="2" t="n">
        <v>0</v>
      </c>
      <c r="K23" s="2" t="n">
        <v>1</v>
      </c>
      <c r="L23" s="2" t="n">
        <v>1</v>
      </c>
      <c r="M23" s="2" t="n">
        <v>0</v>
      </c>
      <c r="N23" s="2" t="n">
        <v>0</v>
      </c>
      <c r="O23" s="2" t="n">
        <v>1</v>
      </c>
      <c r="P23" s="2" t="n">
        <v>0</v>
      </c>
      <c r="Q23" s="2" t="n">
        <v>1</v>
      </c>
      <c r="R23" s="2" t="n">
        <v>0</v>
      </c>
      <c r="S23" s="2" t="s">
        <v>848</v>
      </c>
      <c r="T23" s="2" t="s">
        <v>1546</v>
      </c>
      <c r="U23" s="2" t="n">
        <v>4</v>
      </c>
      <c r="V23" s="2" t="s">
        <v>1507</v>
      </c>
      <c r="W23" s="2" t="s">
        <v>1572</v>
      </c>
      <c r="X23" s="2" t="s">
        <v>435</v>
      </c>
      <c r="Y23" s="2" t="s">
        <v>1512</v>
      </c>
      <c r="Z23" s="2" t="s">
        <v>1510</v>
      </c>
      <c r="AA23" s="2" t="s">
        <v>1512</v>
      </c>
      <c r="AB23" s="2" t="s">
        <v>1573</v>
      </c>
      <c r="AC23" s="2" t="s">
        <v>1507</v>
      </c>
    </row>
    <row r="24" customFormat="false" ht="23.85" hidden="false" customHeight="false" outlineLevel="0" collapsed="false">
      <c r="A24" s="2" t="s">
        <v>1305</v>
      </c>
      <c r="B24" s="2" t="s">
        <v>1574</v>
      </c>
      <c r="C24" s="2" t="s">
        <v>1506</v>
      </c>
      <c r="D24" s="2" t="s">
        <v>1507</v>
      </c>
      <c r="E24" s="2" t="s">
        <v>226</v>
      </c>
      <c r="F24" s="2" t="n">
        <v>0</v>
      </c>
      <c r="G24" s="2" t="n">
        <v>0</v>
      </c>
      <c r="H24" s="2" t="n">
        <v>0</v>
      </c>
      <c r="I24" s="2" t="n">
        <v>0</v>
      </c>
      <c r="J24" s="2" t="n">
        <v>0</v>
      </c>
      <c r="K24" s="2" t="n">
        <v>0</v>
      </c>
      <c r="L24" s="2" t="n">
        <v>1</v>
      </c>
      <c r="M24" s="2" t="n">
        <v>0</v>
      </c>
      <c r="N24" s="2" t="n">
        <v>0</v>
      </c>
      <c r="O24" s="2" t="n">
        <v>1</v>
      </c>
      <c r="P24" s="2" t="n">
        <v>0</v>
      </c>
      <c r="Q24" s="2" t="n">
        <v>0</v>
      </c>
      <c r="R24" s="2" t="n">
        <v>0</v>
      </c>
      <c r="S24" s="2" t="s">
        <v>848</v>
      </c>
      <c r="T24" s="2" t="s">
        <v>1575</v>
      </c>
      <c r="U24" s="2" t="n">
        <v>5</v>
      </c>
      <c r="V24" s="2" t="s">
        <v>1507</v>
      </c>
      <c r="W24" s="2" t="s">
        <v>482</v>
      </c>
      <c r="X24" s="2" t="s">
        <v>482</v>
      </c>
      <c r="Y24" s="2" t="s">
        <v>1512</v>
      </c>
      <c r="Z24" s="2" t="s">
        <v>1510</v>
      </c>
      <c r="AA24" s="2" t="s">
        <v>1512</v>
      </c>
      <c r="AB24" s="2" t="s">
        <v>1576</v>
      </c>
      <c r="AC24" s="2" t="s">
        <v>1507</v>
      </c>
    </row>
    <row r="25" customFormat="false" ht="15" hidden="false" customHeight="false" outlineLevel="0" collapsed="false">
      <c r="A25" s="2" t="s">
        <v>1313</v>
      </c>
      <c r="B25" s="2" t="s">
        <v>1577</v>
      </c>
      <c r="C25" s="2" t="s">
        <v>1506</v>
      </c>
      <c r="D25" s="2" t="s">
        <v>1510</v>
      </c>
      <c r="E25" s="2" t="s">
        <v>637</v>
      </c>
      <c r="F25" s="2" t="n">
        <v>0</v>
      </c>
      <c r="G25" s="2" t="n">
        <v>0</v>
      </c>
      <c r="H25" s="2" t="n">
        <v>1</v>
      </c>
      <c r="I25" s="2" t="n">
        <v>0</v>
      </c>
      <c r="J25" s="2" t="n">
        <v>0</v>
      </c>
      <c r="K25" s="2" t="n">
        <v>0</v>
      </c>
      <c r="L25" s="2" t="n">
        <v>0</v>
      </c>
      <c r="M25" s="2" t="n">
        <v>0</v>
      </c>
      <c r="N25" s="2" t="n">
        <v>0</v>
      </c>
      <c r="O25" s="2" t="n">
        <v>0</v>
      </c>
      <c r="P25" s="2" t="n">
        <v>1</v>
      </c>
      <c r="Q25" s="2" t="n">
        <v>0</v>
      </c>
      <c r="R25" s="2" t="n">
        <v>0</v>
      </c>
      <c r="S25" s="2" t="s">
        <v>1578</v>
      </c>
      <c r="T25" s="2" t="s">
        <v>1579</v>
      </c>
      <c r="U25" s="2" t="n">
        <v>4</v>
      </c>
      <c r="V25" s="2" t="s">
        <v>1507</v>
      </c>
      <c r="W25" s="2" t="s">
        <v>482</v>
      </c>
      <c r="X25" s="2" t="s">
        <v>482</v>
      </c>
      <c r="Y25" s="2" t="s">
        <v>1512</v>
      </c>
      <c r="Z25" s="2" t="s">
        <v>1512</v>
      </c>
      <c r="AA25" s="2" t="s">
        <v>1512</v>
      </c>
      <c r="AB25" s="2" t="s">
        <v>1567</v>
      </c>
      <c r="AC25" s="2" t="s">
        <v>1507</v>
      </c>
    </row>
    <row r="26" customFormat="false" ht="15" hidden="false" customHeight="false" outlineLevel="0" collapsed="false">
      <c r="A26" s="2" t="s">
        <v>1319</v>
      </c>
      <c r="B26" s="2" t="s">
        <v>1580</v>
      </c>
      <c r="C26" s="2" t="s">
        <v>1506</v>
      </c>
      <c r="D26" s="2" t="s">
        <v>1507</v>
      </c>
      <c r="E26" s="2" t="s">
        <v>637</v>
      </c>
      <c r="F26" s="2" t="n">
        <v>0</v>
      </c>
      <c r="G26" s="2" t="n">
        <v>0</v>
      </c>
      <c r="H26" s="2" t="n">
        <v>1</v>
      </c>
      <c r="I26" s="2" t="n">
        <v>0</v>
      </c>
      <c r="J26" s="2" t="n">
        <v>0</v>
      </c>
      <c r="K26" s="2" t="n">
        <v>0</v>
      </c>
      <c r="L26" s="2" t="n">
        <v>0</v>
      </c>
      <c r="M26" s="2" t="n">
        <v>0</v>
      </c>
      <c r="N26" s="2" t="n">
        <v>0</v>
      </c>
      <c r="O26" s="2" t="n">
        <v>0</v>
      </c>
      <c r="P26" s="2" t="n">
        <v>0</v>
      </c>
      <c r="Q26" s="2" t="n">
        <v>1</v>
      </c>
      <c r="R26" s="2" t="n">
        <v>0</v>
      </c>
      <c r="S26" s="2" t="s">
        <v>854</v>
      </c>
      <c r="T26" s="2" t="s">
        <v>1579</v>
      </c>
      <c r="U26" s="2" t="n">
        <v>4</v>
      </c>
      <c r="V26" s="2" t="s">
        <v>1507</v>
      </c>
      <c r="W26" s="2" t="s">
        <v>1581</v>
      </c>
      <c r="X26" s="2" t="s">
        <v>435</v>
      </c>
      <c r="Y26" s="2" t="s">
        <v>1512</v>
      </c>
      <c r="Z26" s="2" t="s">
        <v>1512</v>
      </c>
      <c r="AA26" s="2" t="s">
        <v>1512</v>
      </c>
      <c r="AB26" s="2" t="s">
        <v>1582</v>
      </c>
      <c r="AC26" s="2" t="s">
        <v>1507</v>
      </c>
    </row>
    <row r="27" customFormat="false" ht="23.85" hidden="false" customHeight="false" outlineLevel="0" collapsed="false">
      <c r="A27" s="2" t="s">
        <v>1326</v>
      </c>
      <c r="B27" s="2" t="s">
        <v>1583</v>
      </c>
      <c r="C27" s="2" t="s">
        <v>1506</v>
      </c>
      <c r="D27" s="2" t="s">
        <v>1510</v>
      </c>
      <c r="E27" s="2" t="s">
        <v>637</v>
      </c>
      <c r="F27" s="2" t="n">
        <v>0</v>
      </c>
      <c r="G27" s="2" t="n">
        <v>0</v>
      </c>
      <c r="H27" s="2" t="n">
        <v>1</v>
      </c>
      <c r="I27" s="2" t="n">
        <v>0</v>
      </c>
      <c r="J27" s="2" t="n">
        <v>0</v>
      </c>
      <c r="K27" s="2" t="n">
        <v>0</v>
      </c>
      <c r="L27" s="2" t="n">
        <v>0</v>
      </c>
      <c r="M27" s="2" t="n">
        <v>0</v>
      </c>
      <c r="N27" s="2" t="n">
        <v>0</v>
      </c>
      <c r="O27" s="2" t="n">
        <v>0</v>
      </c>
      <c r="P27" s="2" t="n">
        <v>0</v>
      </c>
      <c r="Q27" s="2" t="n">
        <v>1</v>
      </c>
      <c r="R27" s="2" t="n">
        <v>0</v>
      </c>
      <c r="S27" s="2" t="s">
        <v>854</v>
      </c>
      <c r="T27" s="2" t="s">
        <v>1579</v>
      </c>
      <c r="U27" s="2" t="n">
        <v>4</v>
      </c>
      <c r="V27" s="2" t="s">
        <v>1507</v>
      </c>
      <c r="W27" s="2" t="s">
        <v>1584</v>
      </c>
      <c r="X27" s="2" t="s">
        <v>435</v>
      </c>
      <c r="Y27" s="2" t="s">
        <v>1512</v>
      </c>
      <c r="Z27" s="2" t="s">
        <v>1512</v>
      </c>
      <c r="AA27" s="2" t="s">
        <v>1512</v>
      </c>
      <c r="AB27" s="2" t="s">
        <v>1567</v>
      </c>
      <c r="AC27" s="2" t="s">
        <v>1507</v>
      </c>
    </row>
    <row r="28" customFormat="false" ht="15" hidden="false" customHeight="false" outlineLevel="0" collapsed="false">
      <c r="A28" s="2" t="s">
        <v>1415</v>
      </c>
      <c r="B28" s="2" t="s">
        <v>1585</v>
      </c>
      <c r="C28" s="2" t="s">
        <v>1586</v>
      </c>
      <c r="D28" s="2" t="s">
        <v>1510</v>
      </c>
      <c r="E28" s="2" t="s">
        <v>637</v>
      </c>
      <c r="F28" s="2" t="n">
        <v>0</v>
      </c>
      <c r="G28" s="2" t="n">
        <v>0</v>
      </c>
      <c r="H28" s="2" t="n">
        <v>1</v>
      </c>
      <c r="I28" s="2" t="n">
        <v>0</v>
      </c>
      <c r="J28" s="2" t="n">
        <v>0</v>
      </c>
      <c r="K28" s="2" t="n">
        <v>0</v>
      </c>
      <c r="L28" s="2" t="n">
        <v>0</v>
      </c>
      <c r="M28" s="2" t="n">
        <v>0</v>
      </c>
      <c r="N28" s="2" t="n">
        <v>0</v>
      </c>
      <c r="O28" s="2" t="n">
        <v>1</v>
      </c>
      <c r="P28" s="2" t="n">
        <v>0</v>
      </c>
      <c r="Q28" s="2" t="n">
        <v>0</v>
      </c>
      <c r="R28" s="2" t="n">
        <v>0</v>
      </c>
      <c r="S28" s="2" t="s">
        <v>854</v>
      </c>
      <c r="T28" s="2" t="s">
        <v>1525</v>
      </c>
      <c r="U28" s="2" t="n">
        <v>4</v>
      </c>
      <c r="V28" s="2" t="s">
        <v>1507</v>
      </c>
      <c r="W28" s="2" t="s">
        <v>482</v>
      </c>
      <c r="X28" s="2" t="s">
        <v>482</v>
      </c>
      <c r="Y28" s="2" t="s">
        <v>482</v>
      </c>
      <c r="Z28" s="2" t="s">
        <v>482</v>
      </c>
      <c r="AA28" s="2" t="s">
        <v>482</v>
      </c>
      <c r="AB28" s="2" t="s">
        <v>1587</v>
      </c>
      <c r="AC28" s="2" t="s">
        <v>1510</v>
      </c>
    </row>
    <row r="29" customFormat="false" ht="15" hidden="false" customHeight="false" outlineLevel="0" collapsed="false">
      <c r="A29" s="2" t="s">
        <v>1421</v>
      </c>
      <c r="B29" s="2" t="s">
        <v>1588</v>
      </c>
      <c r="C29" s="2" t="s">
        <v>1586</v>
      </c>
      <c r="D29" s="2" t="s">
        <v>1510</v>
      </c>
      <c r="E29" s="2" t="s">
        <v>226</v>
      </c>
      <c r="F29" s="2" t="n">
        <v>0</v>
      </c>
      <c r="G29" s="2" t="n">
        <v>0</v>
      </c>
      <c r="H29" s="2" t="n">
        <v>0</v>
      </c>
      <c r="I29" s="2" t="n">
        <v>0</v>
      </c>
      <c r="J29" s="2" t="n">
        <v>0</v>
      </c>
      <c r="K29" s="2" t="n">
        <v>1</v>
      </c>
      <c r="L29" s="2" t="n">
        <v>1</v>
      </c>
      <c r="M29" s="2" t="n">
        <v>0</v>
      </c>
      <c r="N29" s="2" t="n">
        <v>0</v>
      </c>
      <c r="O29" s="2" t="n">
        <v>1</v>
      </c>
      <c r="P29" s="2" t="n">
        <v>0</v>
      </c>
      <c r="Q29" s="2" t="n">
        <v>0</v>
      </c>
      <c r="R29" s="2" t="n">
        <v>0</v>
      </c>
      <c r="S29" s="2" t="s">
        <v>848</v>
      </c>
      <c r="T29" s="2" t="s">
        <v>1546</v>
      </c>
      <c r="U29" s="2" t="n">
        <v>4</v>
      </c>
      <c r="V29" s="2" t="s">
        <v>1510</v>
      </c>
      <c r="W29" s="2" t="s">
        <v>482</v>
      </c>
      <c r="X29" s="2" t="s">
        <v>482</v>
      </c>
      <c r="Y29" s="2" t="s">
        <v>482</v>
      </c>
      <c r="Z29" s="2" t="s">
        <v>482</v>
      </c>
      <c r="AA29" s="2" t="s">
        <v>482</v>
      </c>
      <c r="AB29" s="2" t="s">
        <v>1587</v>
      </c>
      <c r="AC29" s="2" t="s">
        <v>1510</v>
      </c>
    </row>
    <row r="30" customFormat="false" ht="15" hidden="false" customHeight="false" outlineLevel="0" collapsed="false">
      <c r="A30" s="2" t="s">
        <v>1427</v>
      </c>
      <c r="B30" s="2" t="s">
        <v>1589</v>
      </c>
      <c r="C30" s="2" t="s">
        <v>1586</v>
      </c>
      <c r="D30" s="2" t="s">
        <v>1510</v>
      </c>
      <c r="E30" s="2" t="s">
        <v>1028</v>
      </c>
      <c r="F30" s="2" t="n">
        <v>0</v>
      </c>
      <c r="G30" s="2" t="n">
        <v>1</v>
      </c>
      <c r="H30" s="2" t="n">
        <v>0</v>
      </c>
      <c r="I30" s="2" t="n">
        <v>1</v>
      </c>
      <c r="J30" s="2" t="n">
        <v>0</v>
      </c>
      <c r="K30" s="2" t="n">
        <v>1</v>
      </c>
      <c r="L30" s="2" t="n">
        <v>0</v>
      </c>
      <c r="M30" s="2" t="n">
        <v>0</v>
      </c>
      <c r="N30" s="2" t="n">
        <v>1</v>
      </c>
      <c r="O30" s="2" t="n">
        <v>0</v>
      </c>
      <c r="P30" s="2" t="n">
        <v>0</v>
      </c>
      <c r="Q30" s="2" t="n">
        <v>0</v>
      </c>
      <c r="R30" s="2" t="n">
        <v>0</v>
      </c>
      <c r="S30" s="2" t="s">
        <v>854</v>
      </c>
      <c r="T30" s="2" t="s">
        <v>1590</v>
      </c>
      <c r="U30" s="2" t="n">
        <v>5</v>
      </c>
      <c r="V30" s="2" t="s">
        <v>1507</v>
      </c>
      <c r="W30" s="2" t="s">
        <v>482</v>
      </c>
      <c r="X30" s="2" t="s">
        <v>482</v>
      </c>
      <c r="Y30" s="2" t="s">
        <v>482</v>
      </c>
      <c r="Z30" s="2" t="s">
        <v>482</v>
      </c>
      <c r="AA30" s="2" t="s">
        <v>482</v>
      </c>
      <c r="AB30" s="2" t="s">
        <v>1591</v>
      </c>
      <c r="AC30" s="2" t="s">
        <v>1510</v>
      </c>
    </row>
    <row r="31" customFormat="false" ht="15" hidden="false" customHeight="false" outlineLevel="0" collapsed="false">
      <c r="A31" s="2" t="s">
        <v>1435</v>
      </c>
      <c r="B31" s="2" t="s">
        <v>1592</v>
      </c>
      <c r="C31" s="2" t="s">
        <v>1586</v>
      </c>
      <c r="D31" s="2" t="s">
        <v>1510</v>
      </c>
      <c r="E31" s="2" t="s">
        <v>1028</v>
      </c>
      <c r="F31" s="2" t="n">
        <v>0</v>
      </c>
      <c r="G31" s="2" t="n">
        <v>0</v>
      </c>
      <c r="H31" s="2" t="n">
        <v>0</v>
      </c>
      <c r="I31" s="2" t="n">
        <v>1</v>
      </c>
      <c r="J31" s="2" t="n">
        <v>0</v>
      </c>
      <c r="K31" s="2" t="n">
        <v>0</v>
      </c>
      <c r="L31" s="2" t="n">
        <v>0</v>
      </c>
      <c r="M31" s="2" t="n">
        <v>0</v>
      </c>
      <c r="N31" s="2" t="n">
        <v>1</v>
      </c>
      <c r="O31" s="2" t="n">
        <v>0</v>
      </c>
      <c r="P31" s="2" t="n">
        <v>0</v>
      </c>
      <c r="Q31" s="2" t="n">
        <v>0</v>
      </c>
      <c r="R31" s="2" t="n">
        <v>0</v>
      </c>
      <c r="S31" s="2" t="s">
        <v>854</v>
      </c>
      <c r="T31" s="2" t="s">
        <v>1535</v>
      </c>
      <c r="U31" s="2" t="n">
        <v>5</v>
      </c>
      <c r="V31" s="2" t="s">
        <v>1507</v>
      </c>
      <c r="W31" s="2" t="s">
        <v>482</v>
      </c>
      <c r="X31" s="2" t="s">
        <v>482</v>
      </c>
      <c r="Y31" s="2" t="s">
        <v>482</v>
      </c>
      <c r="Z31" s="2" t="s">
        <v>482</v>
      </c>
      <c r="AA31" s="2" t="s">
        <v>482</v>
      </c>
      <c r="AB31" s="2" t="s">
        <v>1593</v>
      </c>
      <c r="AC31" s="2" t="s">
        <v>1507</v>
      </c>
    </row>
    <row r="32" customFormat="false" ht="15" hidden="false" customHeight="false" outlineLevel="0" collapsed="false">
      <c r="A32" s="2" t="s">
        <v>1442</v>
      </c>
      <c r="B32" s="2" t="s">
        <v>1594</v>
      </c>
      <c r="C32" s="2" t="s">
        <v>1586</v>
      </c>
      <c r="D32" s="2" t="s">
        <v>1510</v>
      </c>
      <c r="E32" s="2" t="s">
        <v>637</v>
      </c>
      <c r="F32" s="2" t="n">
        <v>0</v>
      </c>
      <c r="G32" s="2" t="n">
        <v>0</v>
      </c>
      <c r="H32" s="2" t="n">
        <v>1</v>
      </c>
      <c r="I32" s="2" t="n">
        <v>0</v>
      </c>
      <c r="J32" s="2" t="n">
        <v>0</v>
      </c>
      <c r="K32" s="2" t="n">
        <v>1</v>
      </c>
      <c r="L32" s="2" t="n">
        <v>0</v>
      </c>
      <c r="M32" s="2" t="n">
        <v>0</v>
      </c>
      <c r="N32" s="2" t="n">
        <v>1</v>
      </c>
      <c r="O32" s="2" t="n">
        <v>0</v>
      </c>
      <c r="P32" s="2" t="n">
        <v>0</v>
      </c>
      <c r="Q32" s="2" t="n">
        <v>0</v>
      </c>
      <c r="R32" s="2" t="n">
        <v>0</v>
      </c>
      <c r="S32" s="2" t="s">
        <v>854</v>
      </c>
      <c r="T32" s="2" t="s">
        <v>1595</v>
      </c>
      <c r="U32" s="2" t="n">
        <v>4</v>
      </c>
      <c r="V32" s="2" t="s">
        <v>1507</v>
      </c>
      <c r="W32" s="2" t="s">
        <v>482</v>
      </c>
      <c r="X32" s="2" t="s">
        <v>482</v>
      </c>
      <c r="Y32" s="2" t="s">
        <v>482</v>
      </c>
      <c r="Z32" s="2" t="s">
        <v>482</v>
      </c>
      <c r="AA32" s="2" t="s">
        <v>482</v>
      </c>
      <c r="AB32" s="2" t="s">
        <v>1596</v>
      </c>
      <c r="AC32" s="2" t="s">
        <v>1510</v>
      </c>
    </row>
    <row r="33" customFormat="false" ht="15" hidden="false" customHeight="false" outlineLevel="0" collapsed="false">
      <c r="A33" s="2" t="s">
        <v>1449</v>
      </c>
      <c r="B33" s="2" t="s">
        <v>1597</v>
      </c>
      <c r="C33" s="2" t="s">
        <v>1586</v>
      </c>
      <c r="D33" s="2" t="s">
        <v>1510</v>
      </c>
      <c r="E33" s="2" t="s">
        <v>637</v>
      </c>
      <c r="F33" s="2" t="n">
        <v>0</v>
      </c>
      <c r="G33" s="2" t="n">
        <v>0</v>
      </c>
      <c r="H33" s="2" t="n">
        <v>1</v>
      </c>
      <c r="I33" s="2" t="n">
        <v>0</v>
      </c>
      <c r="J33" s="2" t="n">
        <v>0</v>
      </c>
      <c r="K33" s="2" t="n">
        <v>0</v>
      </c>
      <c r="L33" s="2" t="n">
        <v>0</v>
      </c>
      <c r="M33" s="2" t="n">
        <v>0</v>
      </c>
      <c r="N33" s="2" t="n">
        <v>1</v>
      </c>
      <c r="O33" s="2" t="n">
        <v>0</v>
      </c>
      <c r="P33" s="2" t="n">
        <v>0</v>
      </c>
      <c r="Q33" s="2" t="n">
        <v>0</v>
      </c>
      <c r="R33" s="2" t="n">
        <v>0</v>
      </c>
      <c r="S33" s="2" t="s">
        <v>854</v>
      </c>
      <c r="T33" s="2" t="s">
        <v>1525</v>
      </c>
      <c r="U33" s="2" t="n">
        <v>3</v>
      </c>
      <c r="V33" s="2" t="s">
        <v>1507</v>
      </c>
      <c r="W33" s="2" t="s">
        <v>482</v>
      </c>
      <c r="X33" s="2" t="s">
        <v>482</v>
      </c>
      <c r="Y33" s="2" t="s">
        <v>482</v>
      </c>
      <c r="Z33" s="2" t="s">
        <v>482</v>
      </c>
      <c r="AA33" s="2" t="s">
        <v>482</v>
      </c>
      <c r="AB33" s="2" t="s">
        <v>1598</v>
      </c>
      <c r="AC33" s="2" t="s">
        <v>1510</v>
      </c>
    </row>
    <row r="34" customFormat="false" ht="15" hidden="false" customHeight="false" outlineLevel="0" collapsed="false">
      <c r="A34" s="2" t="s">
        <v>1455</v>
      </c>
      <c r="B34" s="2" t="s">
        <v>1599</v>
      </c>
      <c r="C34" s="2" t="s">
        <v>1586</v>
      </c>
      <c r="D34" s="2" t="s">
        <v>1510</v>
      </c>
      <c r="E34" s="2" t="s">
        <v>637</v>
      </c>
      <c r="F34" s="2" t="n">
        <v>0</v>
      </c>
      <c r="G34" s="2" t="n">
        <v>0</v>
      </c>
      <c r="H34" s="2" t="n">
        <v>1</v>
      </c>
      <c r="I34" s="2" t="n">
        <v>0</v>
      </c>
      <c r="J34" s="2" t="n">
        <v>0</v>
      </c>
      <c r="K34" s="2" t="n">
        <v>1</v>
      </c>
      <c r="L34" s="2" t="n">
        <v>0</v>
      </c>
      <c r="M34" s="2" t="n">
        <v>0</v>
      </c>
      <c r="N34" s="2" t="n">
        <v>1</v>
      </c>
      <c r="O34" s="2" t="n">
        <v>0</v>
      </c>
      <c r="P34" s="2" t="n">
        <v>0</v>
      </c>
      <c r="Q34" s="2" t="n">
        <v>0</v>
      </c>
      <c r="R34" s="2" t="n">
        <v>0</v>
      </c>
      <c r="S34" s="2" t="s">
        <v>854</v>
      </c>
      <c r="T34" s="2" t="s">
        <v>1531</v>
      </c>
      <c r="U34" s="2" t="n">
        <v>4</v>
      </c>
      <c r="V34" s="2" t="s">
        <v>1507</v>
      </c>
      <c r="W34" s="2" t="s">
        <v>482</v>
      </c>
      <c r="X34" s="2" t="s">
        <v>482</v>
      </c>
      <c r="Y34" s="2" t="s">
        <v>482</v>
      </c>
      <c r="Z34" s="2" t="s">
        <v>482</v>
      </c>
      <c r="AA34" s="2" t="s">
        <v>482</v>
      </c>
      <c r="AB34" s="2" t="s">
        <v>1593</v>
      </c>
      <c r="AC34" s="2" t="s">
        <v>1507</v>
      </c>
    </row>
    <row r="35" customFormat="false" ht="15" hidden="false" customHeight="false" outlineLevel="0" collapsed="false">
      <c r="A35" s="2" t="s">
        <v>1462</v>
      </c>
      <c r="B35" s="2" t="s">
        <v>1600</v>
      </c>
      <c r="C35" s="2" t="s">
        <v>1586</v>
      </c>
      <c r="D35" s="2" t="s">
        <v>1510</v>
      </c>
      <c r="E35" s="2" t="s">
        <v>637</v>
      </c>
      <c r="F35" s="2" t="n">
        <v>0</v>
      </c>
      <c r="G35" s="2" t="n">
        <v>0</v>
      </c>
      <c r="H35" s="2" t="n">
        <v>1</v>
      </c>
      <c r="I35" s="2" t="n">
        <v>0</v>
      </c>
      <c r="J35" s="2" t="n">
        <v>0</v>
      </c>
      <c r="K35" s="2" t="n">
        <v>0</v>
      </c>
      <c r="L35" s="2" t="n">
        <v>0</v>
      </c>
      <c r="M35" s="2" t="n">
        <v>0</v>
      </c>
      <c r="N35" s="2" t="n">
        <v>1</v>
      </c>
      <c r="O35" s="2" t="n">
        <v>0</v>
      </c>
      <c r="P35" s="2" t="n">
        <v>0</v>
      </c>
      <c r="Q35" s="2" t="n">
        <v>0</v>
      </c>
      <c r="R35" s="2" t="n">
        <v>0</v>
      </c>
      <c r="S35" s="2" t="s">
        <v>854</v>
      </c>
      <c r="T35" s="2" t="s">
        <v>1579</v>
      </c>
      <c r="U35" s="2" t="n">
        <v>4</v>
      </c>
      <c r="V35" s="2" t="s">
        <v>1507</v>
      </c>
      <c r="W35" s="2" t="s">
        <v>1601</v>
      </c>
      <c r="X35" s="2" t="s">
        <v>482</v>
      </c>
      <c r="Y35" s="2" t="s">
        <v>482</v>
      </c>
      <c r="Z35" s="2" t="s">
        <v>482</v>
      </c>
      <c r="AA35" s="2" t="s">
        <v>482</v>
      </c>
      <c r="AB35" s="2" t="s">
        <v>1587</v>
      </c>
      <c r="AC35" s="2" t="s">
        <v>1510</v>
      </c>
    </row>
    <row r="36" customFormat="false" ht="15" hidden="false" customHeight="false" outlineLevel="0" collapsed="false">
      <c r="A36" s="2" t="s">
        <v>1469</v>
      </c>
      <c r="B36" s="2" t="s">
        <v>1602</v>
      </c>
      <c r="C36" s="2" t="s">
        <v>1586</v>
      </c>
      <c r="D36" s="2" t="s">
        <v>1510</v>
      </c>
      <c r="E36" s="2" t="s">
        <v>1034</v>
      </c>
      <c r="F36" s="2" t="n">
        <v>0</v>
      </c>
      <c r="G36" s="2" t="n">
        <v>0</v>
      </c>
      <c r="H36" s="2" t="n">
        <v>0</v>
      </c>
      <c r="I36" s="2" t="n">
        <v>0</v>
      </c>
      <c r="J36" s="2" t="n">
        <v>1</v>
      </c>
      <c r="K36" s="2" t="n">
        <v>0</v>
      </c>
      <c r="L36" s="2" t="n">
        <v>0</v>
      </c>
      <c r="M36" s="2" t="n">
        <v>0</v>
      </c>
      <c r="N36" s="2" t="n">
        <v>1</v>
      </c>
      <c r="O36" s="2" t="n">
        <v>0</v>
      </c>
      <c r="P36" s="2" t="n">
        <v>0</v>
      </c>
      <c r="Q36" s="2" t="n">
        <v>0</v>
      </c>
      <c r="R36" s="2" t="n">
        <v>0</v>
      </c>
      <c r="S36" s="2" t="s">
        <v>858</v>
      </c>
      <c r="T36" s="2" t="s">
        <v>1538</v>
      </c>
      <c r="U36" s="2" t="n">
        <v>4</v>
      </c>
      <c r="V36" s="2" t="s">
        <v>1510</v>
      </c>
      <c r="W36" s="2" t="s">
        <v>482</v>
      </c>
      <c r="X36" s="2" t="s">
        <v>482</v>
      </c>
      <c r="Y36" s="2" t="s">
        <v>482</v>
      </c>
      <c r="Z36" s="2" t="s">
        <v>482</v>
      </c>
      <c r="AA36" s="2" t="s">
        <v>482</v>
      </c>
      <c r="AB36" s="2" t="s">
        <v>1603</v>
      </c>
      <c r="AC36" s="2" t="s">
        <v>1510</v>
      </c>
    </row>
    <row r="37" customFormat="false" ht="23.85" hidden="false" customHeight="false" outlineLevel="0" collapsed="false">
      <c r="A37" s="2" t="s">
        <v>429</v>
      </c>
      <c r="B37" s="2" t="s">
        <v>1604</v>
      </c>
      <c r="C37" s="2" t="s">
        <v>1506</v>
      </c>
      <c r="D37" s="2" t="s">
        <v>1507</v>
      </c>
      <c r="E37" s="2" t="s">
        <v>226</v>
      </c>
      <c r="F37" s="2" t="n">
        <v>0</v>
      </c>
      <c r="G37" s="2" t="n">
        <v>0</v>
      </c>
      <c r="H37" s="2" t="n">
        <v>0</v>
      </c>
      <c r="I37" s="2" t="n">
        <v>0</v>
      </c>
      <c r="J37" s="2" t="n">
        <v>0</v>
      </c>
      <c r="K37" s="2" t="n">
        <v>0</v>
      </c>
      <c r="L37" s="2" t="n">
        <v>1</v>
      </c>
      <c r="M37" s="2" t="n">
        <v>0</v>
      </c>
      <c r="N37" s="2" t="n">
        <v>0</v>
      </c>
      <c r="O37" s="2" t="n">
        <v>1</v>
      </c>
      <c r="P37" s="2" t="n">
        <v>0</v>
      </c>
      <c r="Q37" s="2" t="n">
        <v>0</v>
      </c>
      <c r="R37" s="2" t="n">
        <v>0</v>
      </c>
      <c r="S37" s="2" t="s">
        <v>848</v>
      </c>
      <c r="T37" s="2" t="s">
        <v>1541</v>
      </c>
      <c r="U37" s="2" t="n">
        <v>2</v>
      </c>
      <c r="V37" s="2" t="s">
        <v>1510</v>
      </c>
      <c r="W37" s="2" t="s">
        <v>482</v>
      </c>
      <c r="X37" s="2" t="s">
        <v>482</v>
      </c>
      <c r="Y37" s="2" t="s">
        <v>1512</v>
      </c>
      <c r="Z37" s="2" t="s">
        <v>1512</v>
      </c>
      <c r="AA37" s="2" t="s">
        <v>1512</v>
      </c>
      <c r="AB37" s="2" t="s">
        <v>1605</v>
      </c>
      <c r="AC37" s="2" t="s">
        <v>1507</v>
      </c>
    </row>
    <row r="38" customFormat="false" ht="23.85" hidden="false" customHeight="false" outlineLevel="0" collapsed="false">
      <c r="A38" s="2" t="s">
        <v>449</v>
      </c>
      <c r="B38" s="2" t="s">
        <v>1606</v>
      </c>
      <c r="C38" s="2" t="s">
        <v>1506</v>
      </c>
      <c r="D38" s="2" t="s">
        <v>1507</v>
      </c>
      <c r="E38" s="2" t="s">
        <v>226</v>
      </c>
      <c r="F38" s="2" t="n">
        <v>0</v>
      </c>
      <c r="G38" s="2" t="n">
        <v>0</v>
      </c>
      <c r="H38" s="2" t="n">
        <v>0</v>
      </c>
      <c r="I38" s="2" t="n">
        <v>0</v>
      </c>
      <c r="J38" s="2" t="n">
        <v>0</v>
      </c>
      <c r="K38" s="2" t="n">
        <v>0</v>
      </c>
      <c r="L38" s="2" t="n">
        <v>1</v>
      </c>
      <c r="M38" s="2" t="n">
        <v>0</v>
      </c>
      <c r="N38" s="2" t="n">
        <v>0</v>
      </c>
      <c r="O38" s="2" t="n">
        <v>0</v>
      </c>
      <c r="P38" s="2" t="n">
        <v>1</v>
      </c>
      <c r="Q38" s="2" t="n">
        <v>0</v>
      </c>
      <c r="R38" s="2" t="n">
        <v>0</v>
      </c>
      <c r="S38" s="2" t="s">
        <v>848</v>
      </c>
      <c r="T38" s="2" t="s">
        <v>1541</v>
      </c>
      <c r="U38" s="2" t="n">
        <v>2</v>
      </c>
      <c r="V38" s="2" t="s">
        <v>1510</v>
      </c>
      <c r="W38" s="2" t="s">
        <v>482</v>
      </c>
      <c r="X38" s="2" t="s">
        <v>482</v>
      </c>
      <c r="Y38" s="2" t="s">
        <v>1507</v>
      </c>
      <c r="Z38" s="2" t="s">
        <v>1512</v>
      </c>
      <c r="AA38" s="2" t="s">
        <v>1512</v>
      </c>
      <c r="AB38" s="2" t="s">
        <v>1605</v>
      </c>
      <c r="AC38" s="2" t="s">
        <v>1507</v>
      </c>
    </row>
    <row r="39" customFormat="false" ht="23.85" hidden="false" customHeight="false" outlineLevel="0" collapsed="false">
      <c r="A39" s="2" t="s">
        <v>502</v>
      </c>
      <c r="B39" s="2" t="s">
        <v>1607</v>
      </c>
      <c r="C39" s="2" t="s">
        <v>1506</v>
      </c>
      <c r="D39" s="2" t="s">
        <v>1507</v>
      </c>
      <c r="E39" s="2" t="s">
        <v>226</v>
      </c>
      <c r="F39" s="2" t="n">
        <v>0</v>
      </c>
      <c r="G39" s="2" t="n">
        <v>0</v>
      </c>
      <c r="H39" s="2" t="n">
        <v>0</v>
      </c>
      <c r="I39" s="2" t="n">
        <v>0</v>
      </c>
      <c r="J39" s="2" t="n">
        <v>0</v>
      </c>
      <c r="K39" s="2" t="n">
        <v>0</v>
      </c>
      <c r="L39" s="2" t="n">
        <v>1</v>
      </c>
      <c r="M39" s="2" t="n">
        <v>0</v>
      </c>
      <c r="N39" s="2" t="n">
        <v>0</v>
      </c>
      <c r="O39" s="2" t="n">
        <v>0</v>
      </c>
      <c r="P39" s="2" t="n">
        <v>1</v>
      </c>
      <c r="Q39" s="2" t="n">
        <v>0</v>
      </c>
      <c r="R39" s="2" t="n">
        <v>0</v>
      </c>
      <c r="S39" s="2" t="s">
        <v>848</v>
      </c>
      <c r="T39" s="2" t="s">
        <v>1541</v>
      </c>
      <c r="U39" s="2" t="n">
        <v>1</v>
      </c>
      <c r="V39" s="2" t="s">
        <v>1510</v>
      </c>
      <c r="W39" s="2" t="s">
        <v>482</v>
      </c>
      <c r="X39" s="2" t="s">
        <v>482</v>
      </c>
      <c r="Y39" s="2" t="s">
        <v>1512</v>
      </c>
      <c r="Z39" s="2" t="s">
        <v>1512</v>
      </c>
      <c r="AA39" s="2" t="s">
        <v>1512</v>
      </c>
      <c r="AB39" s="2" t="s">
        <v>1605</v>
      </c>
      <c r="AC39" s="2" t="s">
        <v>1507</v>
      </c>
    </row>
    <row r="40" customFormat="false" ht="23.85" hidden="false" customHeight="false" outlineLevel="0" collapsed="false">
      <c r="A40" s="2" t="s">
        <v>565</v>
      </c>
      <c r="B40" s="2" t="s">
        <v>1608</v>
      </c>
      <c r="C40" s="2" t="s">
        <v>1506</v>
      </c>
      <c r="D40" s="2" t="s">
        <v>1507</v>
      </c>
      <c r="E40" s="2" t="s">
        <v>226</v>
      </c>
      <c r="F40" s="2" t="n">
        <v>0</v>
      </c>
      <c r="G40" s="2" t="n">
        <v>0</v>
      </c>
      <c r="H40" s="2" t="n">
        <v>0</v>
      </c>
      <c r="I40" s="2" t="n">
        <v>0</v>
      </c>
      <c r="J40" s="2" t="n">
        <v>0</v>
      </c>
      <c r="K40" s="2" t="n">
        <v>0</v>
      </c>
      <c r="L40" s="2" t="n">
        <v>1</v>
      </c>
      <c r="M40" s="2" t="n">
        <v>0</v>
      </c>
      <c r="N40" s="2" t="n">
        <v>0</v>
      </c>
      <c r="O40" s="2" t="n">
        <v>0</v>
      </c>
      <c r="P40" s="2" t="n">
        <v>1</v>
      </c>
      <c r="Q40" s="2" t="n">
        <v>0</v>
      </c>
      <c r="R40" s="2" t="n">
        <v>0</v>
      </c>
      <c r="S40" s="2" t="s">
        <v>848</v>
      </c>
      <c r="T40" s="2" t="s">
        <v>1541</v>
      </c>
      <c r="U40" s="2" t="n">
        <v>1</v>
      </c>
      <c r="V40" s="2" t="s">
        <v>1510</v>
      </c>
      <c r="W40" s="2" t="s">
        <v>482</v>
      </c>
      <c r="X40" s="2" t="s">
        <v>482</v>
      </c>
      <c r="Y40" s="2" t="s">
        <v>1512</v>
      </c>
      <c r="Z40" s="2" t="s">
        <v>1512</v>
      </c>
      <c r="AA40" s="2" t="s">
        <v>1512</v>
      </c>
      <c r="AB40" s="2" t="s">
        <v>1605</v>
      </c>
      <c r="AC40" s="2" t="s">
        <v>1507</v>
      </c>
    </row>
    <row r="41" customFormat="false" ht="23.85" hidden="false" customHeight="false" outlineLevel="0" collapsed="false">
      <c r="A41" s="2" t="s">
        <v>594</v>
      </c>
      <c r="B41" s="2" t="s">
        <v>1609</v>
      </c>
      <c r="C41" s="2" t="s">
        <v>1506</v>
      </c>
      <c r="D41" s="2" t="s">
        <v>1507</v>
      </c>
      <c r="E41" s="2" t="s">
        <v>226</v>
      </c>
      <c r="F41" s="2" t="n">
        <v>0</v>
      </c>
      <c r="G41" s="2" t="n">
        <v>0</v>
      </c>
      <c r="H41" s="2" t="n">
        <v>0</v>
      </c>
      <c r="I41" s="2" t="n">
        <v>0</v>
      </c>
      <c r="J41" s="2" t="n">
        <v>0</v>
      </c>
      <c r="K41" s="2" t="n">
        <v>0</v>
      </c>
      <c r="L41" s="2" t="n">
        <v>1</v>
      </c>
      <c r="M41" s="2" t="n">
        <v>0</v>
      </c>
      <c r="N41" s="2" t="n">
        <v>0</v>
      </c>
      <c r="O41" s="2" t="n">
        <v>1</v>
      </c>
      <c r="P41" s="2" t="n">
        <v>0</v>
      </c>
      <c r="Q41" s="2" t="n">
        <v>1</v>
      </c>
      <c r="R41" s="2" t="n">
        <v>0</v>
      </c>
      <c r="S41" s="2" t="s">
        <v>848</v>
      </c>
      <c r="T41" s="2" t="s">
        <v>1546</v>
      </c>
      <c r="U41" s="2" t="n">
        <v>2</v>
      </c>
      <c r="V41" s="2" t="s">
        <v>1510</v>
      </c>
      <c r="W41" s="2" t="s">
        <v>1610</v>
      </c>
      <c r="X41" s="2" t="s">
        <v>429</v>
      </c>
      <c r="Y41" s="2" t="s">
        <v>1512</v>
      </c>
      <c r="Z41" s="2" t="s">
        <v>1512</v>
      </c>
      <c r="AA41" s="2" t="s">
        <v>1512</v>
      </c>
      <c r="AB41" s="2" t="s">
        <v>1605</v>
      </c>
      <c r="AC41" s="2" t="s">
        <v>1507</v>
      </c>
    </row>
    <row r="42" customFormat="false" ht="23.85" hidden="false" customHeight="false" outlineLevel="0" collapsed="false">
      <c r="A42" s="2" t="s">
        <v>621</v>
      </c>
      <c r="B42" s="2" t="s">
        <v>1611</v>
      </c>
      <c r="C42" s="2" t="s">
        <v>1506</v>
      </c>
      <c r="D42" s="2" t="s">
        <v>1507</v>
      </c>
      <c r="E42" s="2" t="s">
        <v>226</v>
      </c>
      <c r="F42" s="2" t="n">
        <v>0</v>
      </c>
      <c r="G42" s="2" t="n">
        <v>0</v>
      </c>
      <c r="H42" s="2" t="n">
        <v>0</v>
      </c>
      <c r="I42" s="2" t="n">
        <v>0</v>
      </c>
      <c r="J42" s="2" t="n">
        <v>0</v>
      </c>
      <c r="K42" s="2" t="n">
        <v>0</v>
      </c>
      <c r="L42" s="2" t="n">
        <v>1</v>
      </c>
      <c r="M42" s="2" t="n">
        <v>0</v>
      </c>
      <c r="N42" s="2" t="n">
        <v>0</v>
      </c>
      <c r="O42" s="2" t="n">
        <v>0</v>
      </c>
      <c r="P42" s="2" t="n">
        <v>0</v>
      </c>
      <c r="Q42" s="2" t="n">
        <v>0</v>
      </c>
      <c r="R42" s="2" t="n">
        <v>1</v>
      </c>
      <c r="S42" s="2" t="s">
        <v>848</v>
      </c>
      <c r="T42" s="2" t="s">
        <v>1541</v>
      </c>
      <c r="U42" s="2" t="n">
        <v>1</v>
      </c>
      <c r="V42" s="2" t="s">
        <v>1510</v>
      </c>
      <c r="W42" s="2" t="s">
        <v>482</v>
      </c>
      <c r="X42" s="2" t="s">
        <v>482</v>
      </c>
      <c r="Y42" s="2" t="s">
        <v>1512</v>
      </c>
      <c r="Z42" s="2" t="s">
        <v>1512</v>
      </c>
      <c r="AA42" s="2" t="s">
        <v>1512</v>
      </c>
      <c r="AB42" s="2" t="s">
        <v>1605</v>
      </c>
      <c r="AC42" s="2" t="s">
        <v>1507</v>
      </c>
    </row>
    <row r="43" customFormat="false" ht="23.85" hidden="false" customHeight="false" outlineLevel="0" collapsed="false">
      <c r="A43" s="2" t="s">
        <v>626</v>
      </c>
      <c r="B43" s="2" t="s">
        <v>1612</v>
      </c>
      <c r="C43" s="2" t="s">
        <v>1506</v>
      </c>
      <c r="D43" s="2" t="s">
        <v>1507</v>
      </c>
      <c r="E43" s="2" t="s">
        <v>226</v>
      </c>
      <c r="F43" s="2" t="n">
        <v>0</v>
      </c>
      <c r="G43" s="2" t="n">
        <v>0</v>
      </c>
      <c r="H43" s="2" t="n">
        <v>0</v>
      </c>
      <c r="I43" s="2" t="n">
        <v>0</v>
      </c>
      <c r="J43" s="2" t="n">
        <v>0</v>
      </c>
      <c r="K43" s="2" t="n">
        <v>0</v>
      </c>
      <c r="L43" s="2" t="n">
        <v>1</v>
      </c>
      <c r="M43" s="2" t="n">
        <v>0</v>
      </c>
      <c r="N43" s="2" t="n">
        <v>0</v>
      </c>
      <c r="O43" s="2" t="n">
        <v>1</v>
      </c>
      <c r="P43" s="2" t="n">
        <v>0</v>
      </c>
      <c r="Q43" s="2" t="n">
        <v>0</v>
      </c>
      <c r="R43" s="2" t="n">
        <v>0</v>
      </c>
      <c r="S43" s="2" t="s">
        <v>848</v>
      </c>
      <c r="T43" s="2" t="s">
        <v>1541</v>
      </c>
      <c r="U43" s="2" t="n">
        <v>2</v>
      </c>
      <c r="V43" s="2" t="s">
        <v>1510</v>
      </c>
      <c r="W43" s="2" t="s">
        <v>482</v>
      </c>
      <c r="X43" s="2" t="s">
        <v>482</v>
      </c>
      <c r="Y43" s="2" t="s">
        <v>1512</v>
      </c>
      <c r="Z43" s="2" t="s">
        <v>1512</v>
      </c>
      <c r="AA43" s="2" t="s">
        <v>1512</v>
      </c>
      <c r="AB43" s="2" t="s">
        <v>1605</v>
      </c>
      <c r="AC43" s="2" t="s">
        <v>1507</v>
      </c>
    </row>
    <row r="44" customFormat="false" ht="23.85" hidden="false" customHeight="false" outlineLevel="0" collapsed="false">
      <c r="A44" s="2" t="s">
        <v>691</v>
      </c>
      <c r="B44" s="2" t="s">
        <v>1613</v>
      </c>
      <c r="C44" s="2" t="s">
        <v>1506</v>
      </c>
      <c r="D44" s="2" t="s">
        <v>1507</v>
      </c>
      <c r="E44" s="2" t="s">
        <v>226</v>
      </c>
      <c r="F44" s="2" t="n">
        <v>0</v>
      </c>
      <c r="G44" s="2" t="n">
        <v>0</v>
      </c>
      <c r="H44" s="2" t="n">
        <v>0</v>
      </c>
      <c r="I44" s="2" t="n">
        <v>0</v>
      </c>
      <c r="J44" s="2" t="n">
        <v>0</v>
      </c>
      <c r="K44" s="2" t="n">
        <v>0</v>
      </c>
      <c r="L44" s="2" t="n">
        <v>1</v>
      </c>
      <c r="M44" s="2" t="n">
        <v>0</v>
      </c>
      <c r="N44" s="2" t="n">
        <v>0</v>
      </c>
      <c r="O44" s="2" t="n">
        <v>0</v>
      </c>
      <c r="P44" s="2" t="n">
        <v>1</v>
      </c>
      <c r="Q44" s="2" t="n">
        <v>1</v>
      </c>
      <c r="R44" s="2" t="n">
        <v>0</v>
      </c>
      <c r="S44" s="2" t="s">
        <v>848</v>
      </c>
      <c r="T44" s="2" t="s">
        <v>1525</v>
      </c>
      <c r="U44" s="2" t="n">
        <v>2</v>
      </c>
      <c r="V44" s="2" t="s">
        <v>1510</v>
      </c>
      <c r="W44" s="2" t="s">
        <v>1614</v>
      </c>
      <c r="X44" s="2" t="s">
        <v>429</v>
      </c>
      <c r="Y44" s="2" t="s">
        <v>1512</v>
      </c>
      <c r="Z44" s="2" t="s">
        <v>1512</v>
      </c>
      <c r="AA44" s="2" t="s">
        <v>1512</v>
      </c>
      <c r="AB44" s="2" t="s">
        <v>1605</v>
      </c>
      <c r="AC44" s="2" t="s">
        <v>1507</v>
      </c>
    </row>
    <row r="45" customFormat="false" ht="23.85" hidden="false" customHeight="false" outlineLevel="0" collapsed="false">
      <c r="A45" s="2" t="s">
        <v>726</v>
      </c>
      <c r="B45" s="2" t="s">
        <v>1615</v>
      </c>
      <c r="C45" s="2" t="s">
        <v>1506</v>
      </c>
      <c r="D45" s="2" t="s">
        <v>1507</v>
      </c>
      <c r="E45" s="2" t="s">
        <v>226</v>
      </c>
      <c r="F45" s="2" t="n">
        <v>0</v>
      </c>
      <c r="G45" s="2" t="n">
        <v>0</v>
      </c>
      <c r="H45" s="2" t="n">
        <v>0</v>
      </c>
      <c r="I45" s="2" t="n">
        <v>0</v>
      </c>
      <c r="J45" s="2" t="n">
        <v>0</v>
      </c>
      <c r="K45" s="2" t="n">
        <v>0</v>
      </c>
      <c r="L45" s="2" t="n">
        <v>1</v>
      </c>
      <c r="M45" s="2" t="n">
        <v>0</v>
      </c>
      <c r="N45" s="2" t="n">
        <v>0</v>
      </c>
      <c r="O45" s="2" t="n">
        <v>0</v>
      </c>
      <c r="P45" s="2" t="n">
        <v>1</v>
      </c>
      <c r="Q45" s="2" t="n">
        <v>0</v>
      </c>
      <c r="R45" s="2" t="n">
        <v>0</v>
      </c>
      <c r="S45" s="2" t="s">
        <v>848</v>
      </c>
      <c r="T45" s="2" t="s">
        <v>1541</v>
      </c>
      <c r="U45" s="2" t="n">
        <v>1</v>
      </c>
      <c r="V45" s="2" t="s">
        <v>1510</v>
      </c>
      <c r="W45" s="2" t="s">
        <v>482</v>
      </c>
      <c r="X45" s="2" t="s">
        <v>482</v>
      </c>
      <c r="Y45" s="2" t="s">
        <v>1512</v>
      </c>
      <c r="Z45" s="2" t="s">
        <v>1512</v>
      </c>
      <c r="AA45" s="2" t="s">
        <v>1512</v>
      </c>
      <c r="AB45" s="2" t="s">
        <v>1605</v>
      </c>
      <c r="AC45" s="2" t="s">
        <v>1507</v>
      </c>
    </row>
    <row r="46" customFormat="false" ht="23.85" hidden="false" customHeight="false" outlineLevel="0" collapsed="false">
      <c r="A46" s="2" t="s">
        <v>747</v>
      </c>
      <c r="B46" s="2" t="s">
        <v>1616</v>
      </c>
      <c r="C46" s="2" t="s">
        <v>1506</v>
      </c>
      <c r="D46" s="2" t="s">
        <v>1507</v>
      </c>
      <c r="E46" s="2" t="s">
        <v>226</v>
      </c>
      <c r="F46" s="2" t="n">
        <v>0</v>
      </c>
      <c r="G46" s="2" t="n">
        <v>0</v>
      </c>
      <c r="H46" s="2" t="n">
        <v>1</v>
      </c>
      <c r="I46" s="2" t="n">
        <v>0</v>
      </c>
      <c r="J46" s="2" t="n">
        <v>0</v>
      </c>
      <c r="K46" s="2" t="n">
        <v>0</v>
      </c>
      <c r="L46" s="2" t="n">
        <v>1</v>
      </c>
      <c r="M46" s="2" t="n">
        <v>0</v>
      </c>
      <c r="N46" s="2" t="n">
        <v>1</v>
      </c>
      <c r="O46" s="2" t="n">
        <v>0</v>
      </c>
      <c r="P46" s="2" t="n">
        <v>0</v>
      </c>
      <c r="Q46" s="2" t="n">
        <v>0</v>
      </c>
      <c r="R46" s="2" t="n">
        <v>0</v>
      </c>
      <c r="S46" s="2" t="s">
        <v>854</v>
      </c>
      <c r="T46" s="2" t="s">
        <v>1525</v>
      </c>
      <c r="U46" s="2" t="n">
        <v>1</v>
      </c>
      <c r="V46" s="2" t="s">
        <v>1510</v>
      </c>
      <c r="W46" s="2" t="s">
        <v>482</v>
      </c>
      <c r="X46" s="2" t="s">
        <v>482</v>
      </c>
      <c r="Y46" s="2" t="s">
        <v>1512</v>
      </c>
      <c r="Z46" s="2" t="s">
        <v>1512</v>
      </c>
      <c r="AA46" s="2" t="s">
        <v>1512</v>
      </c>
      <c r="AB46" s="2" t="s">
        <v>1605</v>
      </c>
      <c r="AC46" s="2" t="s">
        <v>1507</v>
      </c>
    </row>
    <row r="47" customFormat="false" ht="23.85" hidden="false" customHeight="false" outlineLevel="0" collapsed="false">
      <c r="A47" s="2" t="s">
        <v>825</v>
      </c>
      <c r="B47" s="2" t="s">
        <v>1617</v>
      </c>
      <c r="C47" s="2" t="s">
        <v>1506</v>
      </c>
      <c r="D47" s="2" t="s">
        <v>1507</v>
      </c>
      <c r="E47" s="2" t="s">
        <v>226</v>
      </c>
      <c r="F47" s="2" t="n">
        <v>0</v>
      </c>
      <c r="G47" s="2" t="n">
        <v>0</v>
      </c>
      <c r="H47" s="2" t="n">
        <v>0</v>
      </c>
      <c r="I47" s="2" t="n">
        <v>0</v>
      </c>
      <c r="J47" s="2" t="n">
        <v>0</v>
      </c>
      <c r="K47" s="2" t="n">
        <v>0</v>
      </c>
      <c r="L47" s="2" t="n">
        <v>1</v>
      </c>
      <c r="M47" s="2" t="n">
        <v>0</v>
      </c>
      <c r="N47" s="2" t="n">
        <v>0</v>
      </c>
      <c r="O47" s="2" t="n">
        <v>1</v>
      </c>
      <c r="P47" s="2" t="n">
        <v>0</v>
      </c>
      <c r="Q47" s="2" t="n">
        <v>1</v>
      </c>
      <c r="R47" s="2" t="n">
        <v>0</v>
      </c>
      <c r="S47" s="2" t="s">
        <v>848</v>
      </c>
      <c r="T47" s="2" t="s">
        <v>1541</v>
      </c>
      <c r="U47" s="2" t="n">
        <v>2</v>
      </c>
      <c r="V47" s="2" t="s">
        <v>1510</v>
      </c>
      <c r="W47" s="2" t="s">
        <v>1511</v>
      </c>
      <c r="X47" s="2" t="s">
        <v>429</v>
      </c>
      <c r="Y47" s="2" t="s">
        <v>1512</v>
      </c>
      <c r="Z47" s="2" t="s">
        <v>1512</v>
      </c>
      <c r="AA47" s="2" t="s">
        <v>1512</v>
      </c>
      <c r="AB47" s="2" t="s">
        <v>1605</v>
      </c>
      <c r="AC47" s="2" t="s">
        <v>1507</v>
      </c>
    </row>
    <row r="48" customFormat="false" ht="23.85" hidden="false" customHeight="false" outlineLevel="0" collapsed="false">
      <c r="A48" s="2" t="s">
        <v>872</v>
      </c>
      <c r="B48" s="2" t="s">
        <v>1618</v>
      </c>
      <c r="C48" s="2" t="s">
        <v>1506</v>
      </c>
      <c r="D48" s="2" t="s">
        <v>1507</v>
      </c>
      <c r="E48" s="2" t="s">
        <v>226</v>
      </c>
      <c r="F48" s="2" t="n">
        <v>0</v>
      </c>
      <c r="G48" s="2" t="n">
        <v>0</v>
      </c>
      <c r="H48" s="2" t="n">
        <v>0</v>
      </c>
      <c r="I48" s="2" t="n">
        <v>0</v>
      </c>
      <c r="J48" s="2" t="n">
        <v>0</v>
      </c>
      <c r="K48" s="2" t="n">
        <v>0</v>
      </c>
      <c r="L48" s="2" t="n">
        <v>1</v>
      </c>
      <c r="M48" s="2" t="n">
        <v>0</v>
      </c>
      <c r="N48" s="2" t="n">
        <v>0</v>
      </c>
      <c r="O48" s="2" t="n">
        <v>0</v>
      </c>
      <c r="P48" s="2" t="n">
        <v>1</v>
      </c>
      <c r="Q48" s="2" t="n">
        <v>0</v>
      </c>
      <c r="R48" s="2" t="n">
        <v>0</v>
      </c>
      <c r="S48" s="2" t="s">
        <v>848</v>
      </c>
      <c r="T48" s="2" t="s">
        <v>1541</v>
      </c>
      <c r="U48" s="2" t="n">
        <v>2</v>
      </c>
      <c r="V48" s="2" t="s">
        <v>1510</v>
      </c>
      <c r="W48" s="2" t="s">
        <v>482</v>
      </c>
      <c r="X48" s="2" t="s">
        <v>482</v>
      </c>
      <c r="Y48" s="2" t="s">
        <v>1512</v>
      </c>
      <c r="Z48" s="2" t="s">
        <v>1512</v>
      </c>
      <c r="AA48" s="2" t="s">
        <v>1512</v>
      </c>
      <c r="AB48" s="2" t="s">
        <v>1605</v>
      </c>
      <c r="AC48" s="2" t="s">
        <v>1507</v>
      </c>
    </row>
    <row r="49" customFormat="false" ht="23.85" hidden="false" customHeight="false" outlineLevel="0" collapsed="false">
      <c r="A49" s="2" t="s">
        <v>364</v>
      </c>
      <c r="B49" s="2" t="s">
        <v>1619</v>
      </c>
      <c r="C49" s="2" t="s">
        <v>1506</v>
      </c>
      <c r="D49" s="2" t="s">
        <v>1507</v>
      </c>
      <c r="E49" s="2" t="s">
        <v>226</v>
      </c>
      <c r="F49" s="2" t="n">
        <v>0</v>
      </c>
      <c r="G49" s="2" t="n">
        <v>0</v>
      </c>
      <c r="H49" s="2" t="n">
        <v>0</v>
      </c>
      <c r="I49" s="2" t="n">
        <v>0</v>
      </c>
      <c r="J49" s="2" t="n">
        <v>0</v>
      </c>
      <c r="K49" s="2" t="n">
        <v>0</v>
      </c>
      <c r="L49" s="2" t="n">
        <v>1</v>
      </c>
      <c r="M49" s="2" t="n">
        <v>0</v>
      </c>
      <c r="N49" s="2" t="n">
        <v>0</v>
      </c>
      <c r="O49" s="2" t="n">
        <v>0</v>
      </c>
      <c r="P49" s="2" t="n">
        <v>0</v>
      </c>
      <c r="Q49" s="2" t="n">
        <v>1</v>
      </c>
      <c r="R49" s="2" t="n">
        <v>0</v>
      </c>
      <c r="S49" s="2" t="s">
        <v>848</v>
      </c>
      <c r="T49" s="2" t="s">
        <v>1541</v>
      </c>
      <c r="U49" s="2" t="n">
        <v>1</v>
      </c>
      <c r="V49" s="2" t="s">
        <v>1510</v>
      </c>
      <c r="W49" s="2" t="s">
        <v>1511</v>
      </c>
      <c r="X49" s="2" t="s">
        <v>429</v>
      </c>
      <c r="Y49" s="2" t="s">
        <v>1507</v>
      </c>
      <c r="Z49" s="2" t="s">
        <v>1512</v>
      </c>
      <c r="AA49" s="2" t="s">
        <v>1512</v>
      </c>
      <c r="AB49" s="2" t="s">
        <v>1605</v>
      </c>
      <c r="AC49" s="2" t="s">
        <v>1507</v>
      </c>
    </row>
    <row r="50" customFormat="false" ht="35.05" hidden="false" customHeight="false" outlineLevel="0" collapsed="false">
      <c r="A50" s="2" t="s">
        <v>907</v>
      </c>
      <c r="B50" s="2" t="s">
        <v>1620</v>
      </c>
      <c r="C50" s="2" t="s">
        <v>1506</v>
      </c>
      <c r="D50" s="2" t="s">
        <v>1507</v>
      </c>
      <c r="E50" s="2" t="s">
        <v>226</v>
      </c>
      <c r="F50" s="2" t="n">
        <v>0</v>
      </c>
      <c r="G50" s="2" t="n">
        <v>0</v>
      </c>
      <c r="H50" s="2" t="n">
        <v>0</v>
      </c>
      <c r="I50" s="2" t="n">
        <v>0</v>
      </c>
      <c r="J50" s="2" t="n">
        <v>0</v>
      </c>
      <c r="K50" s="2" t="n">
        <v>0</v>
      </c>
      <c r="L50" s="2" t="n">
        <v>1</v>
      </c>
      <c r="M50" s="2" t="n">
        <v>0</v>
      </c>
      <c r="N50" s="2" t="n">
        <v>0</v>
      </c>
      <c r="O50" s="2" t="n">
        <v>0</v>
      </c>
      <c r="P50" s="2" t="n">
        <v>0</v>
      </c>
      <c r="Q50" s="2" t="n">
        <v>1</v>
      </c>
      <c r="R50" s="2" t="n">
        <v>1</v>
      </c>
      <c r="S50" s="2" t="s">
        <v>848</v>
      </c>
      <c r="T50" s="2" t="s">
        <v>1525</v>
      </c>
      <c r="U50" s="2" t="n">
        <v>2</v>
      </c>
      <c r="V50" s="2" t="s">
        <v>1510</v>
      </c>
      <c r="W50" s="2" t="s">
        <v>1621</v>
      </c>
      <c r="X50" s="2" t="s">
        <v>429</v>
      </c>
      <c r="Y50" s="2" t="s">
        <v>1512</v>
      </c>
      <c r="Z50" s="2" t="s">
        <v>1512</v>
      </c>
      <c r="AA50" s="2" t="s">
        <v>1512</v>
      </c>
      <c r="AB50" s="2" t="s">
        <v>1605</v>
      </c>
      <c r="AC50" s="2" t="s">
        <v>1507</v>
      </c>
    </row>
    <row r="51" customFormat="false" ht="23.85" hidden="false" customHeight="false" outlineLevel="0" collapsed="false">
      <c r="A51" s="2" t="s">
        <v>918</v>
      </c>
      <c r="B51" s="2" t="s">
        <v>1622</v>
      </c>
      <c r="C51" s="2" t="s">
        <v>1506</v>
      </c>
      <c r="D51" s="2" t="s">
        <v>1507</v>
      </c>
      <c r="E51" s="2" t="s">
        <v>226</v>
      </c>
      <c r="F51" s="2" t="n">
        <v>0</v>
      </c>
      <c r="G51" s="2" t="n">
        <v>0</v>
      </c>
      <c r="H51" s="2" t="n">
        <v>0</v>
      </c>
      <c r="I51" s="2" t="n">
        <v>0</v>
      </c>
      <c r="J51" s="2" t="n">
        <v>0</v>
      </c>
      <c r="K51" s="2" t="n">
        <v>0</v>
      </c>
      <c r="L51" s="2" t="n">
        <v>1</v>
      </c>
      <c r="M51" s="2" t="n">
        <v>0</v>
      </c>
      <c r="N51" s="2" t="n">
        <v>0</v>
      </c>
      <c r="O51" s="2" t="n">
        <v>1</v>
      </c>
      <c r="P51" s="2" t="n">
        <v>0</v>
      </c>
      <c r="Q51" s="2" t="n">
        <v>0</v>
      </c>
      <c r="R51" s="2" t="n">
        <v>0</v>
      </c>
      <c r="S51" s="2" t="s">
        <v>848</v>
      </c>
      <c r="T51" s="2" t="s">
        <v>1541</v>
      </c>
      <c r="U51" s="2" t="n">
        <v>2</v>
      </c>
      <c r="V51" s="2" t="s">
        <v>1510</v>
      </c>
      <c r="W51" s="2" t="s">
        <v>482</v>
      </c>
      <c r="X51" s="2" t="s">
        <v>482</v>
      </c>
      <c r="Y51" s="2" t="s">
        <v>1512</v>
      </c>
      <c r="Z51" s="2" t="s">
        <v>1512</v>
      </c>
      <c r="AA51" s="2" t="s">
        <v>1512</v>
      </c>
      <c r="AB51" s="2" t="s">
        <v>1605</v>
      </c>
      <c r="AC51" s="2" t="s">
        <v>1507</v>
      </c>
    </row>
    <row r="52" customFormat="false" ht="23.85" hidden="false" customHeight="false" outlineLevel="0" collapsed="false">
      <c r="A52" s="2" t="s">
        <v>953</v>
      </c>
      <c r="B52" s="2" t="s">
        <v>1623</v>
      </c>
      <c r="C52" s="2" t="s">
        <v>1506</v>
      </c>
      <c r="D52" s="2" t="s">
        <v>1507</v>
      </c>
      <c r="E52" s="2" t="s">
        <v>226</v>
      </c>
      <c r="F52" s="2" t="n">
        <v>0</v>
      </c>
      <c r="G52" s="2" t="n">
        <v>0</v>
      </c>
      <c r="H52" s="2" t="n">
        <v>0</v>
      </c>
      <c r="I52" s="2" t="n">
        <v>0</v>
      </c>
      <c r="J52" s="2" t="n">
        <v>0</v>
      </c>
      <c r="K52" s="2" t="n">
        <v>0</v>
      </c>
      <c r="L52" s="2" t="n">
        <v>1</v>
      </c>
      <c r="M52" s="2" t="n">
        <v>0</v>
      </c>
      <c r="N52" s="2" t="n">
        <v>0</v>
      </c>
      <c r="O52" s="2" t="n">
        <v>0</v>
      </c>
      <c r="P52" s="2" t="n">
        <v>1</v>
      </c>
      <c r="Q52" s="2" t="n">
        <v>0</v>
      </c>
      <c r="R52" s="2" t="n">
        <v>0</v>
      </c>
      <c r="S52" s="2" t="s">
        <v>848</v>
      </c>
      <c r="T52" s="2" t="s">
        <v>1541</v>
      </c>
      <c r="U52" s="2" t="n">
        <v>4</v>
      </c>
      <c r="V52" s="2" t="s">
        <v>1507</v>
      </c>
      <c r="W52" s="2" t="s">
        <v>482</v>
      </c>
      <c r="X52" s="2" t="s">
        <v>482</v>
      </c>
      <c r="Y52" s="2" t="s">
        <v>1507</v>
      </c>
      <c r="Z52" s="2" t="s">
        <v>1512</v>
      </c>
      <c r="AA52" s="2" t="s">
        <v>1512</v>
      </c>
      <c r="AB52" s="2" t="s">
        <v>1605</v>
      </c>
      <c r="AC52" s="2" t="s">
        <v>1507</v>
      </c>
    </row>
    <row r="53" customFormat="false" ht="23.85" hidden="false" customHeight="false" outlineLevel="0" collapsed="false">
      <c r="A53" s="2" t="s">
        <v>964</v>
      </c>
      <c r="B53" s="2" t="s">
        <v>1624</v>
      </c>
      <c r="C53" s="2" t="s">
        <v>1506</v>
      </c>
      <c r="D53" s="2" t="s">
        <v>1507</v>
      </c>
      <c r="E53" s="2" t="s">
        <v>226</v>
      </c>
      <c r="F53" s="2" t="n">
        <v>0</v>
      </c>
      <c r="G53" s="2" t="n">
        <v>0</v>
      </c>
      <c r="H53" s="2" t="n">
        <v>0</v>
      </c>
      <c r="I53" s="2" t="n">
        <v>0</v>
      </c>
      <c r="J53" s="2" t="n">
        <v>0</v>
      </c>
      <c r="K53" s="2" t="n">
        <v>0</v>
      </c>
      <c r="L53" s="2" t="n">
        <v>1</v>
      </c>
      <c r="M53" s="2" t="n">
        <v>0</v>
      </c>
      <c r="N53" s="2" t="n">
        <v>0</v>
      </c>
      <c r="O53" s="2" t="n">
        <v>0</v>
      </c>
      <c r="P53" s="2" t="n">
        <v>0</v>
      </c>
      <c r="Q53" s="2" t="n">
        <v>0</v>
      </c>
      <c r="R53" s="2" t="n">
        <v>1</v>
      </c>
      <c r="S53" s="2" t="s">
        <v>848</v>
      </c>
      <c r="T53" s="2" t="s">
        <v>1625</v>
      </c>
      <c r="U53" s="2" t="n">
        <v>2</v>
      </c>
      <c r="V53" s="2" t="s">
        <v>1510</v>
      </c>
      <c r="W53" s="2" t="s">
        <v>482</v>
      </c>
      <c r="X53" s="2" t="s">
        <v>482</v>
      </c>
      <c r="Y53" s="2" t="s">
        <v>1512</v>
      </c>
      <c r="Z53" s="2" t="s">
        <v>1512</v>
      </c>
      <c r="AA53" s="2" t="s">
        <v>1512</v>
      </c>
      <c r="AB53" s="2" t="s">
        <v>1605</v>
      </c>
      <c r="AC53" s="2" t="s">
        <v>1507</v>
      </c>
    </row>
    <row r="54" customFormat="false" ht="23.85" hidden="false" customHeight="false" outlineLevel="0" collapsed="false">
      <c r="A54" s="2" t="s">
        <v>975</v>
      </c>
      <c r="B54" s="2" t="s">
        <v>1626</v>
      </c>
      <c r="C54" s="2" t="s">
        <v>1506</v>
      </c>
      <c r="D54" s="2" t="s">
        <v>1507</v>
      </c>
      <c r="E54" s="2" t="s">
        <v>226</v>
      </c>
      <c r="F54" s="2" t="n">
        <v>0</v>
      </c>
      <c r="G54" s="2" t="n">
        <v>0</v>
      </c>
      <c r="H54" s="2" t="n">
        <v>0</v>
      </c>
      <c r="I54" s="2" t="n">
        <v>0</v>
      </c>
      <c r="J54" s="2" t="n">
        <v>0</v>
      </c>
      <c r="K54" s="2" t="n">
        <v>0</v>
      </c>
      <c r="L54" s="2" t="n">
        <v>1</v>
      </c>
      <c r="M54" s="2" t="n">
        <v>0</v>
      </c>
      <c r="N54" s="2" t="n">
        <v>0</v>
      </c>
      <c r="O54" s="2" t="n">
        <v>1</v>
      </c>
      <c r="P54" s="2" t="n">
        <v>0</v>
      </c>
      <c r="Q54" s="2" t="n">
        <v>1</v>
      </c>
      <c r="R54" s="2" t="n">
        <v>0</v>
      </c>
      <c r="S54" s="2" t="s">
        <v>848</v>
      </c>
      <c r="T54" s="2" t="s">
        <v>1525</v>
      </c>
      <c r="U54" s="2" t="n">
        <v>2</v>
      </c>
      <c r="V54" s="2" t="s">
        <v>1510</v>
      </c>
      <c r="W54" s="2" t="s">
        <v>1614</v>
      </c>
      <c r="X54" s="2" t="s">
        <v>429</v>
      </c>
      <c r="Y54" s="2" t="s">
        <v>1512</v>
      </c>
      <c r="Z54" s="2" t="s">
        <v>1512</v>
      </c>
      <c r="AA54" s="2" t="s">
        <v>1512</v>
      </c>
      <c r="AB54" s="2" t="s">
        <v>1605</v>
      </c>
      <c r="AC54" s="2" t="s">
        <v>1507</v>
      </c>
    </row>
    <row r="55" customFormat="false" ht="23.85" hidden="false" customHeight="false" outlineLevel="0" collapsed="false">
      <c r="A55" s="2" t="s">
        <v>979</v>
      </c>
      <c r="B55" s="2" t="s">
        <v>1627</v>
      </c>
      <c r="C55" s="2" t="s">
        <v>1506</v>
      </c>
      <c r="D55" s="2" t="s">
        <v>1507</v>
      </c>
      <c r="E55" s="2" t="s">
        <v>226</v>
      </c>
      <c r="F55" s="2" t="n">
        <v>0</v>
      </c>
      <c r="G55" s="2" t="n">
        <v>0</v>
      </c>
      <c r="H55" s="2" t="n">
        <v>0</v>
      </c>
      <c r="I55" s="2" t="n">
        <v>0</v>
      </c>
      <c r="J55" s="2" t="n">
        <v>0</v>
      </c>
      <c r="K55" s="2" t="n">
        <v>0</v>
      </c>
      <c r="L55" s="2" t="n">
        <v>1</v>
      </c>
      <c r="M55" s="2" t="n">
        <v>0</v>
      </c>
      <c r="N55" s="2" t="n">
        <v>0</v>
      </c>
      <c r="O55" s="2" t="n">
        <v>0</v>
      </c>
      <c r="P55" s="2" t="n">
        <v>1</v>
      </c>
      <c r="Q55" s="2" t="n">
        <v>0</v>
      </c>
      <c r="R55" s="2" t="n">
        <v>0</v>
      </c>
      <c r="S55" s="2" t="s">
        <v>848</v>
      </c>
      <c r="T55" s="2" t="s">
        <v>1541</v>
      </c>
      <c r="U55" s="2" t="n">
        <v>1</v>
      </c>
      <c r="V55" s="2" t="s">
        <v>1510</v>
      </c>
      <c r="W55" s="2" t="s">
        <v>482</v>
      </c>
      <c r="X55" s="2" t="s">
        <v>482</v>
      </c>
      <c r="Y55" s="2" t="s">
        <v>1512</v>
      </c>
      <c r="Z55" s="2" t="s">
        <v>1512</v>
      </c>
      <c r="AA55" s="2" t="s">
        <v>1512</v>
      </c>
      <c r="AB55" s="2" t="s">
        <v>1605</v>
      </c>
      <c r="AC55" s="2" t="s">
        <v>1507</v>
      </c>
    </row>
    <row r="56" customFormat="false" ht="23.85" hidden="false" customHeight="false" outlineLevel="0" collapsed="false">
      <c r="A56" s="2" t="s">
        <v>1010</v>
      </c>
      <c r="B56" s="2" t="s">
        <v>1628</v>
      </c>
      <c r="C56" s="2" t="s">
        <v>1506</v>
      </c>
      <c r="D56" s="2" t="s">
        <v>1507</v>
      </c>
      <c r="E56" s="2" t="s">
        <v>226</v>
      </c>
      <c r="F56" s="2" t="n">
        <v>0</v>
      </c>
      <c r="G56" s="2" t="n">
        <v>0</v>
      </c>
      <c r="H56" s="2" t="n">
        <v>0</v>
      </c>
      <c r="I56" s="2" t="n">
        <v>0</v>
      </c>
      <c r="J56" s="2" t="n">
        <v>0</v>
      </c>
      <c r="K56" s="2" t="n">
        <v>0</v>
      </c>
      <c r="L56" s="2" t="n">
        <v>1</v>
      </c>
      <c r="M56" s="2" t="n">
        <v>0</v>
      </c>
      <c r="N56" s="2" t="n">
        <v>0</v>
      </c>
      <c r="O56" s="2" t="n">
        <v>0</v>
      </c>
      <c r="P56" s="2" t="n">
        <v>0</v>
      </c>
      <c r="Q56" s="2" t="n">
        <v>1</v>
      </c>
      <c r="R56" s="2" t="n">
        <v>0</v>
      </c>
      <c r="S56" s="2" t="s">
        <v>848</v>
      </c>
      <c r="T56" s="2" t="s">
        <v>1541</v>
      </c>
      <c r="U56" s="2" t="n">
        <v>1</v>
      </c>
      <c r="V56" s="2" t="s">
        <v>1510</v>
      </c>
      <c r="W56" s="2" t="s">
        <v>1629</v>
      </c>
      <c r="X56" s="2" t="s">
        <v>429</v>
      </c>
      <c r="Y56" s="2" t="s">
        <v>1512</v>
      </c>
      <c r="Z56" s="2" t="s">
        <v>1512</v>
      </c>
      <c r="AA56" s="2" t="s">
        <v>1512</v>
      </c>
      <c r="AB56" s="2" t="s">
        <v>1630</v>
      </c>
      <c r="AC56" s="2" t="s">
        <v>1507</v>
      </c>
    </row>
    <row r="57" customFormat="false" ht="23.85" hidden="false" customHeight="false" outlineLevel="0" collapsed="false">
      <c r="A57" s="2" t="s">
        <v>1397</v>
      </c>
      <c r="B57" s="2" t="s">
        <v>1631</v>
      </c>
      <c r="C57" s="2" t="s">
        <v>1506</v>
      </c>
      <c r="D57" s="2" t="s">
        <v>1510</v>
      </c>
      <c r="E57" s="2" t="s">
        <v>637</v>
      </c>
      <c r="F57" s="2" t="n">
        <v>0</v>
      </c>
      <c r="G57" s="2" t="n">
        <v>0</v>
      </c>
      <c r="H57" s="2" t="n">
        <v>1</v>
      </c>
      <c r="I57" s="2" t="n">
        <v>0</v>
      </c>
      <c r="J57" s="2" t="n">
        <v>0</v>
      </c>
      <c r="K57" s="2" t="n">
        <v>1</v>
      </c>
      <c r="L57" s="2" t="n">
        <v>0</v>
      </c>
      <c r="M57" s="2" t="n">
        <v>0</v>
      </c>
      <c r="N57" s="2" t="n">
        <v>1</v>
      </c>
      <c r="O57" s="2" t="n">
        <v>1</v>
      </c>
      <c r="P57" s="2" t="n">
        <v>0</v>
      </c>
      <c r="Q57" s="2" t="n">
        <v>0</v>
      </c>
      <c r="R57" s="2" t="n">
        <v>0</v>
      </c>
      <c r="S57" s="2" t="s">
        <v>854</v>
      </c>
      <c r="T57" s="2" t="s">
        <v>1595</v>
      </c>
      <c r="U57" s="2" t="n">
        <v>4</v>
      </c>
      <c r="V57" s="2" t="s">
        <v>1507</v>
      </c>
      <c r="W57" s="2" t="s">
        <v>482</v>
      </c>
      <c r="X57" s="2" t="s">
        <v>482</v>
      </c>
      <c r="Y57" s="2" t="s">
        <v>1512</v>
      </c>
      <c r="Z57" s="2" t="s">
        <v>1512</v>
      </c>
      <c r="AA57" s="2" t="s">
        <v>1512</v>
      </c>
      <c r="AB57" s="2" t="s">
        <v>1632</v>
      </c>
      <c r="AC57" s="2" t="s">
        <v>1510</v>
      </c>
    </row>
    <row r="58" customFormat="false" ht="23.85" hidden="false" customHeight="false" outlineLevel="0" collapsed="false">
      <c r="A58" s="2" t="s">
        <v>1404</v>
      </c>
      <c r="B58" s="2" t="s">
        <v>1633</v>
      </c>
      <c r="C58" s="2" t="s">
        <v>1506</v>
      </c>
      <c r="D58" s="2" t="s">
        <v>1510</v>
      </c>
      <c r="E58" s="2" t="s">
        <v>1034</v>
      </c>
      <c r="F58" s="2" t="n">
        <v>0</v>
      </c>
      <c r="G58" s="2" t="n">
        <v>0</v>
      </c>
      <c r="H58" s="2" t="n">
        <v>0</v>
      </c>
      <c r="I58" s="2" t="n">
        <v>0</v>
      </c>
      <c r="J58" s="2" t="n">
        <v>1</v>
      </c>
      <c r="K58" s="2" t="n">
        <v>0</v>
      </c>
      <c r="L58" s="2" t="n">
        <v>0</v>
      </c>
      <c r="M58" s="2" t="n">
        <v>0</v>
      </c>
      <c r="N58" s="2" t="n">
        <v>1</v>
      </c>
      <c r="O58" s="2" t="n">
        <v>0</v>
      </c>
      <c r="P58" s="2" t="n">
        <v>1</v>
      </c>
      <c r="Q58" s="2" t="n">
        <v>1</v>
      </c>
      <c r="R58" s="2" t="n">
        <v>0</v>
      </c>
      <c r="S58" s="2" t="s">
        <v>858</v>
      </c>
      <c r="T58" s="2" t="s">
        <v>1595</v>
      </c>
      <c r="U58" s="2" t="n">
        <v>4</v>
      </c>
      <c r="V58" s="2" t="s">
        <v>1507</v>
      </c>
      <c r="W58" s="2" t="s">
        <v>1634</v>
      </c>
      <c r="X58" s="2" t="s">
        <v>435</v>
      </c>
      <c r="Y58" s="2" t="s">
        <v>1512</v>
      </c>
      <c r="Z58" s="2" t="s">
        <v>1512</v>
      </c>
      <c r="AA58" s="2" t="s">
        <v>1512</v>
      </c>
      <c r="AB58" s="2" t="s">
        <v>1635</v>
      </c>
      <c r="AC58" s="2" t="s">
        <v>1510</v>
      </c>
    </row>
    <row r="59" customFormat="false" ht="23.85" hidden="false" customHeight="false" outlineLevel="0" collapsed="false">
      <c r="A59" s="2" t="s">
        <v>435</v>
      </c>
      <c r="B59" s="2" t="s">
        <v>1636</v>
      </c>
      <c r="C59" s="2" t="s">
        <v>1506</v>
      </c>
      <c r="D59" s="2" t="s">
        <v>1507</v>
      </c>
      <c r="E59" s="2" t="s">
        <v>240</v>
      </c>
      <c r="F59" s="2" t="n">
        <v>0</v>
      </c>
      <c r="G59" s="2" t="n">
        <v>0</v>
      </c>
      <c r="H59" s="2" t="n">
        <v>0</v>
      </c>
      <c r="I59" s="2" t="n">
        <v>0</v>
      </c>
      <c r="J59" s="2" t="n">
        <v>0</v>
      </c>
      <c r="K59" s="2" t="n">
        <v>0</v>
      </c>
      <c r="L59" s="2" t="n">
        <v>1</v>
      </c>
      <c r="M59" s="2" t="n">
        <v>1</v>
      </c>
      <c r="N59" s="2" t="n">
        <v>1</v>
      </c>
      <c r="O59" s="2" t="n">
        <v>0</v>
      </c>
      <c r="P59" s="2" t="n">
        <v>0</v>
      </c>
      <c r="Q59" s="2" t="n">
        <v>0</v>
      </c>
      <c r="R59" s="2" t="n">
        <v>1</v>
      </c>
      <c r="S59" s="2" t="s">
        <v>862</v>
      </c>
      <c r="T59" s="2" t="s">
        <v>1637</v>
      </c>
      <c r="U59" s="2" t="n">
        <v>2</v>
      </c>
      <c r="V59" s="2" t="s">
        <v>1510</v>
      </c>
      <c r="W59" s="2" t="s">
        <v>482</v>
      </c>
      <c r="X59" s="2" t="s">
        <v>482</v>
      </c>
      <c r="Y59" s="2" t="s">
        <v>1512</v>
      </c>
      <c r="Z59" s="2" t="s">
        <v>1512</v>
      </c>
      <c r="AA59" s="2" t="s">
        <v>1512</v>
      </c>
      <c r="AB59" s="2" t="s">
        <v>1605</v>
      </c>
      <c r="AC59" s="2" t="s">
        <v>1507</v>
      </c>
    </row>
    <row r="60" customFormat="false" ht="23.85" hidden="false" customHeight="false" outlineLevel="0" collapsed="false">
      <c r="A60" s="2" t="s">
        <v>466</v>
      </c>
      <c r="B60" s="2" t="s">
        <v>1638</v>
      </c>
      <c r="C60" s="2" t="s">
        <v>1506</v>
      </c>
      <c r="D60" s="2" t="s">
        <v>1507</v>
      </c>
      <c r="E60" s="2" t="s">
        <v>240</v>
      </c>
      <c r="F60" s="2" t="n">
        <v>0</v>
      </c>
      <c r="G60" s="2" t="n">
        <v>0</v>
      </c>
      <c r="H60" s="2" t="n">
        <v>0</v>
      </c>
      <c r="I60" s="2" t="n">
        <v>0</v>
      </c>
      <c r="J60" s="2" t="n">
        <v>0</v>
      </c>
      <c r="K60" s="2" t="n">
        <v>0</v>
      </c>
      <c r="L60" s="2" t="n">
        <v>0</v>
      </c>
      <c r="M60" s="2" t="n">
        <v>1</v>
      </c>
      <c r="N60" s="2" t="n">
        <v>1</v>
      </c>
      <c r="O60" s="2" t="n">
        <v>0</v>
      </c>
      <c r="P60" s="2" t="n">
        <v>0</v>
      </c>
      <c r="Q60" s="2" t="n">
        <v>0</v>
      </c>
      <c r="R60" s="2" t="n">
        <v>0</v>
      </c>
      <c r="S60" s="2" t="s">
        <v>862</v>
      </c>
      <c r="T60" s="2" t="s">
        <v>1553</v>
      </c>
      <c r="U60" s="2" t="n">
        <v>1</v>
      </c>
      <c r="V60" s="2" t="s">
        <v>1510</v>
      </c>
      <c r="W60" s="2" t="s">
        <v>482</v>
      </c>
      <c r="X60" s="2" t="s">
        <v>482</v>
      </c>
      <c r="Y60" s="2" t="s">
        <v>1512</v>
      </c>
      <c r="Z60" s="2" t="s">
        <v>1512</v>
      </c>
      <c r="AA60" s="2" t="s">
        <v>1512</v>
      </c>
      <c r="AB60" s="2" t="s">
        <v>1605</v>
      </c>
      <c r="AC60" s="2" t="s">
        <v>1507</v>
      </c>
    </row>
    <row r="61" customFormat="false" ht="23.85" hidden="false" customHeight="false" outlineLevel="0" collapsed="false">
      <c r="A61" s="2" t="s">
        <v>493</v>
      </c>
      <c r="B61" s="2" t="s">
        <v>1639</v>
      </c>
      <c r="C61" s="2" t="s">
        <v>1506</v>
      </c>
      <c r="D61" s="2" t="s">
        <v>1507</v>
      </c>
      <c r="E61" s="2" t="s">
        <v>240</v>
      </c>
      <c r="F61" s="2" t="n">
        <v>0</v>
      </c>
      <c r="G61" s="2" t="n">
        <v>0</v>
      </c>
      <c r="H61" s="2" t="n">
        <v>0</v>
      </c>
      <c r="I61" s="2" t="n">
        <v>0</v>
      </c>
      <c r="J61" s="2" t="n">
        <v>0</v>
      </c>
      <c r="K61" s="2" t="n">
        <v>0</v>
      </c>
      <c r="L61" s="2" t="n">
        <v>0</v>
      </c>
      <c r="M61" s="2" t="n">
        <v>1</v>
      </c>
      <c r="N61" s="2" t="n">
        <v>1</v>
      </c>
      <c r="O61" s="2" t="n">
        <v>0</v>
      </c>
      <c r="P61" s="2" t="n">
        <v>0</v>
      </c>
      <c r="Q61" s="2" t="n">
        <v>0</v>
      </c>
      <c r="R61" s="2" t="n">
        <v>0</v>
      </c>
      <c r="S61" s="2" t="s">
        <v>862</v>
      </c>
      <c r="T61" s="2" t="s">
        <v>1553</v>
      </c>
      <c r="U61" s="2" t="n">
        <v>1</v>
      </c>
      <c r="V61" s="2" t="s">
        <v>1510</v>
      </c>
      <c r="W61" s="2" t="s">
        <v>482</v>
      </c>
      <c r="X61" s="2" t="s">
        <v>482</v>
      </c>
      <c r="Y61" s="2" t="s">
        <v>1512</v>
      </c>
      <c r="Z61" s="2" t="s">
        <v>1512</v>
      </c>
      <c r="AA61" s="2" t="s">
        <v>1512</v>
      </c>
      <c r="AB61" s="2" t="s">
        <v>1605</v>
      </c>
      <c r="AC61" s="2" t="s">
        <v>1507</v>
      </c>
    </row>
    <row r="62" customFormat="false" ht="23.85" hidden="false" customHeight="false" outlineLevel="0" collapsed="false">
      <c r="A62" s="2" t="s">
        <v>505</v>
      </c>
      <c r="B62" s="2" t="s">
        <v>1640</v>
      </c>
      <c r="C62" s="2" t="s">
        <v>1506</v>
      </c>
      <c r="D62" s="2" t="s">
        <v>1507</v>
      </c>
      <c r="E62" s="2" t="s">
        <v>240</v>
      </c>
      <c r="F62" s="2" t="n">
        <v>0</v>
      </c>
      <c r="G62" s="2" t="n">
        <v>0</v>
      </c>
      <c r="H62" s="2" t="n">
        <v>0</v>
      </c>
      <c r="I62" s="2" t="n">
        <v>0</v>
      </c>
      <c r="J62" s="2" t="n">
        <v>0</v>
      </c>
      <c r="K62" s="2" t="n">
        <v>0</v>
      </c>
      <c r="L62" s="2" t="n">
        <v>0</v>
      </c>
      <c r="M62" s="2" t="n">
        <v>1</v>
      </c>
      <c r="N62" s="2" t="n">
        <v>0</v>
      </c>
      <c r="O62" s="2" t="n">
        <v>0</v>
      </c>
      <c r="P62" s="2" t="n">
        <v>0</v>
      </c>
      <c r="Q62" s="2" t="n">
        <v>1</v>
      </c>
      <c r="R62" s="2" t="n">
        <v>1</v>
      </c>
      <c r="S62" s="2" t="s">
        <v>862</v>
      </c>
      <c r="T62" s="2" t="s">
        <v>1637</v>
      </c>
      <c r="U62" s="2" t="n">
        <v>2</v>
      </c>
      <c r="V62" s="2" t="s">
        <v>1510</v>
      </c>
      <c r="W62" s="2" t="s">
        <v>1641</v>
      </c>
      <c r="X62" s="2" t="s">
        <v>429</v>
      </c>
      <c r="Y62" s="2" t="s">
        <v>1512</v>
      </c>
      <c r="Z62" s="2" t="s">
        <v>1512</v>
      </c>
      <c r="AA62" s="2" t="s">
        <v>1512</v>
      </c>
      <c r="AB62" s="2" t="s">
        <v>1605</v>
      </c>
      <c r="AC62" s="2" t="s">
        <v>1507</v>
      </c>
    </row>
    <row r="63" customFormat="false" ht="23.85" hidden="false" customHeight="false" outlineLevel="0" collapsed="false">
      <c r="A63" s="2" t="s">
        <v>557</v>
      </c>
      <c r="B63" s="2" t="s">
        <v>1642</v>
      </c>
      <c r="C63" s="2" t="s">
        <v>1506</v>
      </c>
      <c r="D63" s="2" t="s">
        <v>1507</v>
      </c>
      <c r="E63" s="2" t="s">
        <v>240</v>
      </c>
      <c r="F63" s="2" t="n">
        <v>0</v>
      </c>
      <c r="G63" s="2" t="n">
        <v>0</v>
      </c>
      <c r="H63" s="2" t="n">
        <v>0</v>
      </c>
      <c r="I63" s="2" t="n">
        <v>0</v>
      </c>
      <c r="J63" s="2" t="n">
        <v>0</v>
      </c>
      <c r="K63" s="2" t="n">
        <v>0</v>
      </c>
      <c r="L63" s="2" t="n">
        <v>1</v>
      </c>
      <c r="M63" s="2" t="n">
        <v>1</v>
      </c>
      <c r="N63" s="2" t="n">
        <v>0</v>
      </c>
      <c r="O63" s="2" t="n">
        <v>1</v>
      </c>
      <c r="P63" s="2" t="n">
        <v>0</v>
      </c>
      <c r="Q63" s="2" t="n">
        <v>0</v>
      </c>
      <c r="R63" s="2" t="n">
        <v>0</v>
      </c>
      <c r="S63" s="2" t="s">
        <v>1643</v>
      </c>
      <c r="T63" s="2" t="s">
        <v>1553</v>
      </c>
      <c r="U63" s="2" t="n">
        <v>1</v>
      </c>
      <c r="V63" s="2" t="s">
        <v>1510</v>
      </c>
      <c r="W63" s="2" t="s">
        <v>482</v>
      </c>
      <c r="X63" s="2" t="s">
        <v>482</v>
      </c>
      <c r="Y63" s="2" t="s">
        <v>1512</v>
      </c>
      <c r="Z63" s="2" t="s">
        <v>1512</v>
      </c>
      <c r="AA63" s="2" t="s">
        <v>1512</v>
      </c>
      <c r="AB63" s="2" t="s">
        <v>1605</v>
      </c>
      <c r="AC63" s="2" t="s">
        <v>1507</v>
      </c>
    </row>
    <row r="64" customFormat="false" ht="23.85" hidden="false" customHeight="false" outlineLevel="0" collapsed="false">
      <c r="A64" s="2" t="s">
        <v>561</v>
      </c>
      <c r="B64" s="2" t="s">
        <v>1644</v>
      </c>
      <c r="C64" s="2" t="s">
        <v>1506</v>
      </c>
      <c r="D64" s="2" t="s">
        <v>1507</v>
      </c>
      <c r="E64" s="2" t="s">
        <v>240</v>
      </c>
      <c r="F64" s="2" t="n">
        <v>0</v>
      </c>
      <c r="G64" s="2" t="n">
        <v>1</v>
      </c>
      <c r="H64" s="2" t="n">
        <v>0</v>
      </c>
      <c r="I64" s="2" t="n">
        <v>0</v>
      </c>
      <c r="J64" s="2" t="n">
        <v>0</v>
      </c>
      <c r="K64" s="2" t="n">
        <v>0</v>
      </c>
      <c r="L64" s="2" t="n">
        <v>0</v>
      </c>
      <c r="M64" s="2" t="n">
        <v>1</v>
      </c>
      <c r="N64" s="2" t="n">
        <v>1</v>
      </c>
      <c r="O64" s="2" t="n">
        <v>1</v>
      </c>
      <c r="P64" s="2" t="n">
        <v>0</v>
      </c>
      <c r="Q64" s="2" t="n">
        <v>0</v>
      </c>
      <c r="R64" s="2" t="n">
        <v>0</v>
      </c>
      <c r="S64" s="2" t="s">
        <v>862</v>
      </c>
      <c r="T64" s="2" t="s">
        <v>1525</v>
      </c>
      <c r="U64" s="2" t="n">
        <v>2</v>
      </c>
      <c r="V64" s="2" t="s">
        <v>1510</v>
      </c>
      <c r="W64" s="2" t="s">
        <v>482</v>
      </c>
      <c r="X64" s="2" t="s">
        <v>482</v>
      </c>
      <c r="Y64" s="2" t="s">
        <v>1512</v>
      </c>
      <c r="Z64" s="2" t="s">
        <v>1512</v>
      </c>
      <c r="AA64" s="2" t="s">
        <v>1512</v>
      </c>
      <c r="AB64" s="2" t="s">
        <v>1605</v>
      </c>
      <c r="AC64" s="2" t="s">
        <v>1507</v>
      </c>
    </row>
    <row r="65" customFormat="false" ht="23.85" hidden="false" customHeight="false" outlineLevel="0" collapsed="false">
      <c r="A65" s="2" t="s">
        <v>730</v>
      </c>
      <c r="B65" s="2" t="s">
        <v>1645</v>
      </c>
      <c r="C65" s="2" t="s">
        <v>1506</v>
      </c>
      <c r="D65" s="2" t="s">
        <v>1507</v>
      </c>
      <c r="E65" s="2" t="s">
        <v>240</v>
      </c>
      <c r="F65" s="2" t="n">
        <v>0</v>
      </c>
      <c r="G65" s="2" t="n">
        <v>0</v>
      </c>
      <c r="H65" s="2" t="n">
        <v>0</v>
      </c>
      <c r="I65" s="2" t="n">
        <v>0</v>
      </c>
      <c r="J65" s="2" t="n">
        <v>0</v>
      </c>
      <c r="K65" s="2" t="n">
        <v>0</v>
      </c>
      <c r="L65" s="2" t="n">
        <v>1</v>
      </c>
      <c r="M65" s="2" t="n">
        <v>1</v>
      </c>
      <c r="N65" s="2" t="n">
        <v>0</v>
      </c>
      <c r="O65" s="2" t="n">
        <v>1</v>
      </c>
      <c r="P65" s="2" t="n">
        <v>0</v>
      </c>
      <c r="Q65" s="2" t="n">
        <v>1</v>
      </c>
      <c r="R65" s="2" t="n">
        <v>0</v>
      </c>
      <c r="S65" s="2" t="s">
        <v>848</v>
      </c>
      <c r="T65" s="2" t="s">
        <v>1553</v>
      </c>
      <c r="U65" s="2" t="n">
        <v>1</v>
      </c>
      <c r="V65" s="2" t="s">
        <v>1510</v>
      </c>
      <c r="W65" s="2" t="s">
        <v>1646</v>
      </c>
      <c r="X65" s="2" t="s">
        <v>429</v>
      </c>
      <c r="Y65" s="2" t="s">
        <v>1512</v>
      </c>
      <c r="Z65" s="2" t="s">
        <v>1512</v>
      </c>
      <c r="AA65" s="2" t="s">
        <v>1512</v>
      </c>
      <c r="AB65" s="2" t="s">
        <v>1605</v>
      </c>
      <c r="AC65" s="2" t="s">
        <v>1507</v>
      </c>
    </row>
    <row r="66" customFormat="false" ht="23.85" hidden="false" customHeight="false" outlineLevel="0" collapsed="false">
      <c r="A66" s="2" t="s">
        <v>795</v>
      </c>
      <c r="B66" s="2" t="s">
        <v>1647</v>
      </c>
      <c r="C66" s="2" t="s">
        <v>1506</v>
      </c>
      <c r="D66" s="2" t="s">
        <v>1507</v>
      </c>
      <c r="E66" s="2" t="s">
        <v>240</v>
      </c>
      <c r="F66" s="2" t="n">
        <v>0</v>
      </c>
      <c r="G66" s="2" t="n">
        <v>0</v>
      </c>
      <c r="H66" s="2" t="n">
        <v>0</v>
      </c>
      <c r="I66" s="2" t="n">
        <v>0</v>
      </c>
      <c r="J66" s="2" t="n">
        <v>0</v>
      </c>
      <c r="K66" s="2" t="n">
        <v>0</v>
      </c>
      <c r="L66" s="2" t="n">
        <v>0</v>
      </c>
      <c r="M66" s="2" t="n">
        <v>1</v>
      </c>
      <c r="N66" s="2" t="n">
        <v>0</v>
      </c>
      <c r="O66" s="2" t="n">
        <v>0</v>
      </c>
      <c r="P66" s="2" t="n">
        <v>0</v>
      </c>
      <c r="Q66" s="2" t="n">
        <v>1</v>
      </c>
      <c r="R66" s="2" t="n">
        <v>0</v>
      </c>
      <c r="S66" s="2" t="s">
        <v>862</v>
      </c>
      <c r="T66" s="2" t="s">
        <v>1553</v>
      </c>
      <c r="U66" s="2" t="n">
        <v>1</v>
      </c>
      <c r="V66" s="2" t="s">
        <v>1510</v>
      </c>
      <c r="W66" s="2" t="s">
        <v>1648</v>
      </c>
      <c r="X66" s="2" t="s">
        <v>429</v>
      </c>
      <c r="Y66" s="2" t="s">
        <v>1512</v>
      </c>
      <c r="Z66" s="2" t="s">
        <v>1512</v>
      </c>
      <c r="AA66" s="2" t="s">
        <v>1512</v>
      </c>
      <c r="AB66" s="2" t="s">
        <v>1605</v>
      </c>
      <c r="AC66" s="2" t="s">
        <v>1507</v>
      </c>
    </row>
    <row r="67" customFormat="false" ht="23.85" hidden="false" customHeight="false" outlineLevel="0" collapsed="false">
      <c r="A67" s="2" t="s">
        <v>967</v>
      </c>
      <c r="B67" s="2" t="s">
        <v>1649</v>
      </c>
      <c r="C67" s="2" t="s">
        <v>1506</v>
      </c>
      <c r="D67" s="2" t="s">
        <v>1507</v>
      </c>
      <c r="E67" s="2" t="s">
        <v>240</v>
      </c>
      <c r="F67" s="2" t="n">
        <v>0</v>
      </c>
      <c r="G67" s="2" t="n">
        <v>0</v>
      </c>
      <c r="H67" s="2" t="n">
        <v>0</v>
      </c>
      <c r="I67" s="2" t="n">
        <v>0</v>
      </c>
      <c r="J67" s="2" t="n">
        <v>0</v>
      </c>
      <c r="K67" s="2" t="n">
        <v>0</v>
      </c>
      <c r="L67" s="2" t="n">
        <v>0</v>
      </c>
      <c r="M67" s="2" t="n">
        <v>1</v>
      </c>
      <c r="N67" s="2" t="n">
        <v>1</v>
      </c>
      <c r="O67" s="2" t="n">
        <v>0</v>
      </c>
      <c r="P67" s="2" t="n">
        <v>0</v>
      </c>
      <c r="Q67" s="2" t="n">
        <v>0</v>
      </c>
      <c r="R67" s="2" t="n">
        <v>0</v>
      </c>
      <c r="S67" s="2" t="s">
        <v>862</v>
      </c>
      <c r="T67" s="2" t="s">
        <v>1553</v>
      </c>
      <c r="U67" s="2" t="n">
        <v>1</v>
      </c>
      <c r="V67" s="2" t="s">
        <v>1510</v>
      </c>
      <c r="W67" s="2" t="s">
        <v>482</v>
      </c>
      <c r="X67" s="2" t="s">
        <v>482</v>
      </c>
      <c r="Y67" s="2" t="s">
        <v>1512</v>
      </c>
      <c r="Z67" s="2" t="s">
        <v>1512</v>
      </c>
      <c r="AA67" s="2" t="s">
        <v>1512</v>
      </c>
      <c r="AB67" s="2" t="s">
        <v>1605</v>
      </c>
      <c r="AC67" s="2" t="s">
        <v>1507</v>
      </c>
    </row>
    <row r="68" customFormat="false" ht="23.85" hidden="false" customHeight="false" outlineLevel="0" collapsed="false">
      <c r="A68" s="2" t="s">
        <v>1001</v>
      </c>
      <c r="B68" s="2" t="s">
        <v>1650</v>
      </c>
      <c r="C68" s="2" t="s">
        <v>1506</v>
      </c>
      <c r="D68" s="2" t="s">
        <v>1507</v>
      </c>
      <c r="E68" s="2" t="s">
        <v>240</v>
      </c>
      <c r="F68" s="2" t="n">
        <v>0</v>
      </c>
      <c r="G68" s="2" t="n">
        <v>0</v>
      </c>
      <c r="H68" s="2" t="n">
        <v>1</v>
      </c>
      <c r="I68" s="2" t="n">
        <v>0</v>
      </c>
      <c r="J68" s="2" t="n">
        <v>0</v>
      </c>
      <c r="K68" s="2" t="n">
        <v>0</v>
      </c>
      <c r="L68" s="2" t="n">
        <v>0</v>
      </c>
      <c r="M68" s="2" t="n">
        <v>1</v>
      </c>
      <c r="N68" s="2" t="n">
        <v>1</v>
      </c>
      <c r="O68" s="2" t="n">
        <v>0</v>
      </c>
      <c r="P68" s="2" t="n">
        <v>0</v>
      </c>
      <c r="Q68" s="2" t="n">
        <v>0</v>
      </c>
      <c r="R68" s="2" t="n">
        <v>0</v>
      </c>
      <c r="S68" s="2" t="s">
        <v>1651</v>
      </c>
      <c r="T68" s="2" t="s">
        <v>1652</v>
      </c>
      <c r="U68" s="2" t="n">
        <v>1</v>
      </c>
      <c r="V68" s="2" t="s">
        <v>1510</v>
      </c>
      <c r="W68" s="2" t="s">
        <v>482</v>
      </c>
      <c r="X68" s="2" t="s">
        <v>482</v>
      </c>
      <c r="Y68" s="2" t="s">
        <v>1512</v>
      </c>
      <c r="Z68" s="2" t="s">
        <v>1507</v>
      </c>
      <c r="AA68" s="2" t="s">
        <v>1512</v>
      </c>
      <c r="AB68" s="2" t="s">
        <v>1605</v>
      </c>
      <c r="AC68" s="2" t="s">
        <v>1507</v>
      </c>
    </row>
    <row r="69" customFormat="false" ht="23.85" hidden="false" customHeight="false" outlineLevel="0" collapsed="false">
      <c r="A69" s="2" t="s">
        <v>1090</v>
      </c>
      <c r="B69" s="2" t="s">
        <v>1653</v>
      </c>
      <c r="C69" s="2" t="s">
        <v>1506</v>
      </c>
      <c r="D69" s="2" t="s">
        <v>1507</v>
      </c>
      <c r="E69" s="2" t="s">
        <v>240</v>
      </c>
      <c r="F69" s="2" t="n">
        <v>0</v>
      </c>
      <c r="G69" s="2" t="n">
        <v>0</v>
      </c>
      <c r="H69" s="2" t="n">
        <v>0</v>
      </c>
      <c r="I69" s="2" t="n">
        <v>0</v>
      </c>
      <c r="J69" s="2" t="n">
        <v>0</v>
      </c>
      <c r="K69" s="2" t="n">
        <v>0</v>
      </c>
      <c r="L69" s="2" t="n">
        <v>0</v>
      </c>
      <c r="M69" s="2" t="n">
        <v>1</v>
      </c>
      <c r="N69" s="2" t="n">
        <v>0</v>
      </c>
      <c r="O69" s="2" t="n">
        <v>0</v>
      </c>
      <c r="P69" s="2" t="n">
        <v>0</v>
      </c>
      <c r="Q69" s="2" t="n">
        <v>1</v>
      </c>
      <c r="R69" s="2" t="n">
        <v>0</v>
      </c>
      <c r="S69" s="2" t="s">
        <v>862</v>
      </c>
      <c r="T69" s="2" t="s">
        <v>1553</v>
      </c>
      <c r="U69" s="2" t="n">
        <v>1</v>
      </c>
      <c r="V69" s="2" t="s">
        <v>1510</v>
      </c>
      <c r="W69" s="2" t="s">
        <v>1654</v>
      </c>
      <c r="X69" s="2" t="s">
        <v>429</v>
      </c>
      <c r="Y69" s="2" t="s">
        <v>1512</v>
      </c>
      <c r="Z69" s="2" t="s">
        <v>1512</v>
      </c>
      <c r="AA69" s="2" t="s">
        <v>1512</v>
      </c>
      <c r="AB69" s="2" t="s">
        <v>1605</v>
      </c>
      <c r="AC69" s="2" t="s">
        <v>1507</v>
      </c>
    </row>
    <row r="70" customFormat="false" ht="35.05" hidden="false" customHeight="false" outlineLevel="0" collapsed="false">
      <c r="A70" s="2" t="s">
        <v>1095</v>
      </c>
      <c r="B70" s="2" t="s">
        <v>1655</v>
      </c>
      <c r="C70" s="2" t="s">
        <v>1506</v>
      </c>
      <c r="D70" s="2" t="s">
        <v>1507</v>
      </c>
      <c r="E70" s="2" t="s">
        <v>240</v>
      </c>
      <c r="F70" s="2" t="n">
        <v>0</v>
      </c>
      <c r="G70" s="2" t="n">
        <v>0</v>
      </c>
      <c r="H70" s="2" t="n">
        <v>0</v>
      </c>
      <c r="I70" s="2" t="n">
        <v>0</v>
      </c>
      <c r="J70" s="2" t="n">
        <v>0</v>
      </c>
      <c r="K70" s="2" t="n">
        <v>0</v>
      </c>
      <c r="L70" s="2" t="n">
        <v>0</v>
      </c>
      <c r="M70" s="2" t="n">
        <v>1</v>
      </c>
      <c r="N70" s="2" t="n">
        <v>0</v>
      </c>
      <c r="O70" s="2" t="n">
        <v>0</v>
      </c>
      <c r="P70" s="2" t="n">
        <v>0</v>
      </c>
      <c r="Q70" s="2" t="n">
        <v>1</v>
      </c>
      <c r="R70" s="2" t="n">
        <v>0</v>
      </c>
      <c r="S70" s="2" t="s">
        <v>862</v>
      </c>
      <c r="T70" s="2" t="s">
        <v>1553</v>
      </c>
      <c r="U70" s="2" t="n">
        <v>1</v>
      </c>
      <c r="V70" s="2" t="s">
        <v>1510</v>
      </c>
      <c r="W70" s="2" t="s">
        <v>1656</v>
      </c>
      <c r="X70" s="2" t="s">
        <v>429</v>
      </c>
      <c r="Y70" s="2" t="s">
        <v>1512</v>
      </c>
      <c r="Z70" s="2" t="s">
        <v>1512</v>
      </c>
      <c r="AA70" s="2" t="s">
        <v>1512</v>
      </c>
      <c r="AB70" s="2" t="s">
        <v>1605</v>
      </c>
      <c r="AC70" s="2" t="s">
        <v>1507</v>
      </c>
    </row>
    <row r="71" customFormat="false" ht="23.85" hidden="false" customHeight="false" outlineLevel="0" collapsed="false">
      <c r="A71" s="2" t="s">
        <v>1114</v>
      </c>
      <c r="B71" s="2" t="s">
        <v>1657</v>
      </c>
      <c r="C71" s="2" t="s">
        <v>1506</v>
      </c>
      <c r="D71" s="2" t="s">
        <v>1507</v>
      </c>
      <c r="E71" s="2" t="s">
        <v>240</v>
      </c>
      <c r="F71" s="2" t="n">
        <v>0</v>
      </c>
      <c r="G71" s="2" t="n">
        <v>0</v>
      </c>
      <c r="H71" s="2" t="n">
        <v>0</v>
      </c>
      <c r="I71" s="2" t="n">
        <v>0</v>
      </c>
      <c r="J71" s="2" t="n">
        <v>0</v>
      </c>
      <c r="K71" s="2" t="n">
        <v>0</v>
      </c>
      <c r="L71" s="2" t="n">
        <v>0</v>
      </c>
      <c r="M71" s="2" t="n">
        <v>1</v>
      </c>
      <c r="N71" s="2" t="n">
        <v>0</v>
      </c>
      <c r="O71" s="2" t="n">
        <v>0</v>
      </c>
      <c r="P71" s="2" t="n">
        <v>0</v>
      </c>
      <c r="Q71" s="2" t="n">
        <v>1</v>
      </c>
      <c r="R71" s="2" t="n">
        <v>0</v>
      </c>
      <c r="S71" s="2" t="s">
        <v>862</v>
      </c>
      <c r="T71" s="2" t="s">
        <v>1541</v>
      </c>
      <c r="U71" s="2" t="n">
        <v>1</v>
      </c>
      <c r="V71" s="2" t="s">
        <v>1510</v>
      </c>
      <c r="W71" s="2" t="s">
        <v>1658</v>
      </c>
      <c r="X71" s="2" t="s">
        <v>429</v>
      </c>
      <c r="Y71" s="2" t="s">
        <v>1512</v>
      </c>
      <c r="Z71" s="2" t="s">
        <v>1512</v>
      </c>
      <c r="AA71" s="2" t="s">
        <v>1512</v>
      </c>
      <c r="AB71" s="2" t="s">
        <v>1605</v>
      </c>
      <c r="AC71" s="2" t="s">
        <v>1507</v>
      </c>
    </row>
    <row r="72" customFormat="false" ht="23.85" hidden="false" customHeight="false" outlineLevel="0" collapsed="false">
      <c r="A72" s="2" t="s">
        <v>569</v>
      </c>
      <c r="B72" s="2" t="s">
        <v>1659</v>
      </c>
      <c r="C72" s="2" t="s">
        <v>1506</v>
      </c>
      <c r="D72" s="2" t="s">
        <v>1507</v>
      </c>
      <c r="E72" s="2" t="s">
        <v>235</v>
      </c>
      <c r="F72" s="2" t="n">
        <v>0</v>
      </c>
      <c r="G72" s="2" t="n">
        <v>0</v>
      </c>
      <c r="H72" s="2" t="n">
        <v>0</v>
      </c>
      <c r="I72" s="2" t="n">
        <v>0</v>
      </c>
      <c r="J72" s="2" t="n">
        <v>0</v>
      </c>
      <c r="K72" s="2" t="n">
        <v>1</v>
      </c>
      <c r="L72" s="2" t="n">
        <v>0</v>
      </c>
      <c r="M72" s="2" t="n">
        <v>0</v>
      </c>
      <c r="N72" s="2" t="n">
        <v>0</v>
      </c>
      <c r="O72" s="2" t="n">
        <v>1</v>
      </c>
      <c r="P72" s="2" t="n">
        <v>0</v>
      </c>
      <c r="Q72" s="2" t="n">
        <v>0</v>
      </c>
      <c r="R72" s="2" t="n">
        <v>0</v>
      </c>
      <c r="S72" s="2" t="s">
        <v>848</v>
      </c>
      <c r="T72" s="2" t="s">
        <v>1525</v>
      </c>
      <c r="U72" s="2" t="n">
        <v>2</v>
      </c>
      <c r="V72" s="2" t="s">
        <v>1510</v>
      </c>
      <c r="W72" s="2" t="s">
        <v>482</v>
      </c>
      <c r="X72" s="2" t="s">
        <v>482</v>
      </c>
      <c r="Y72" s="2" t="s">
        <v>1512</v>
      </c>
      <c r="Z72" s="2" t="s">
        <v>1512</v>
      </c>
      <c r="AA72" s="2" t="s">
        <v>1512</v>
      </c>
      <c r="AB72" s="2" t="s">
        <v>1605</v>
      </c>
      <c r="AC72" s="2" t="s">
        <v>1507</v>
      </c>
    </row>
    <row r="73" customFormat="false" ht="23.85" hidden="false" customHeight="false" outlineLevel="0" collapsed="false">
      <c r="A73" s="2" t="s">
        <v>711</v>
      </c>
      <c r="B73" s="2" t="s">
        <v>1660</v>
      </c>
      <c r="C73" s="2" t="s">
        <v>1506</v>
      </c>
      <c r="D73" s="2" t="s">
        <v>1507</v>
      </c>
      <c r="E73" s="2" t="s">
        <v>235</v>
      </c>
      <c r="F73" s="2" t="n">
        <v>0</v>
      </c>
      <c r="G73" s="2" t="n">
        <v>0</v>
      </c>
      <c r="H73" s="2" t="n">
        <v>0</v>
      </c>
      <c r="I73" s="2" t="n">
        <v>0</v>
      </c>
      <c r="J73" s="2" t="n">
        <v>0</v>
      </c>
      <c r="K73" s="2" t="n">
        <v>1</v>
      </c>
      <c r="L73" s="2" t="n">
        <v>0</v>
      </c>
      <c r="M73" s="2" t="n">
        <v>0</v>
      </c>
      <c r="N73" s="2" t="n">
        <v>0</v>
      </c>
      <c r="O73" s="2" t="n">
        <v>1</v>
      </c>
      <c r="P73" s="2" t="n">
        <v>0</v>
      </c>
      <c r="Q73" s="2" t="n">
        <v>0</v>
      </c>
      <c r="R73" s="2" t="n">
        <v>0</v>
      </c>
      <c r="S73" s="2" t="s">
        <v>1643</v>
      </c>
      <c r="T73" s="2" t="s">
        <v>1637</v>
      </c>
      <c r="U73" s="2" t="n">
        <v>1</v>
      </c>
      <c r="V73" s="2" t="s">
        <v>1510</v>
      </c>
      <c r="W73" s="2" t="s">
        <v>482</v>
      </c>
      <c r="X73" s="2" t="s">
        <v>482</v>
      </c>
      <c r="Y73" s="2" t="s">
        <v>1512</v>
      </c>
      <c r="Z73" s="2" t="s">
        <v>1512</v>
      </c>
      <c r="AA73" s="2" t="s">
        <v>1512</v>
      </c>
      <c r="AB73" s="2" t="s">
        <v>1605</v>
      </c>
      <c r="AC73" s="2" t="s">
        <v>1507</v>
      </c>
    </row>
    <row r="74" customFormat="false" ht="23.85" hidden="false" customHeight="false" outlineLevel="0" collapsed="false">
      <c r="A74" s="2" t="s">
        <v>780</v>
      </c>
      <c r="B74" s="2" t="s">
        <v>1661</v>
      </c>
      <c r="C74" s="2" t="s">
        <v>1506</v>
      </c>
      <c r="D74" s="2" t="s">
        <v>1507</v>
      </c>
      <c r="E74" s="2" t="s">
        <v>235</v>
      </c>
      <c r="F74" s="2" t="n">
        <v>0</v>
      </c>
      <c r="G74" s="2" t="n">
        <v>0</v>
      </c>
      <c r="H74" s="2" t="n">
        <v>0</v>
      </c>
      <c r="I74" s="2" t="n">
        <v>0</v>
      </c>
      <c r="J74" s="2" t="n">
        <v>0</v>
      </c>
      <c r="K74" s="2" t="n">
        <v>1</v>
      </c>
      <c r="L74" s="2" t="n">
        <v>0</v>
      </c>
      <c r="M74" s="2" t="n">
        <v>0</v>
      </c>
      <c r="N74" s="2" t="n">
        <v>0</v>
      </c>
      <c r="O74" s="2" t="n">
        <v>1</v>
      </c>
      <c r="P74" s="2" t="n">
        <v>0</v>
      </c>
      <c r="Q74" s="2" t="n">
        <v>0</v>
      </c>
      <c r="R74" s="2" t="n">
        <v>0</v>
      </c>
      <c r="S74" s="2" t="s">
        <v>848</v>
      </c>
      <c r="T74" s="2" t="s">
        <v>1637</v>
      </c>
      <c r="U74" s="2" t="n">
        <v>1</v>
      </c>
      <c r="V74" s="2" t="s">
        <v>1510</v>
      </c>
      <c r="W74" s="2" t="s">
        <v>482</v>
      </c>
      <c r="X74" s="2" t="s">
        <v>482</v>
      </c>
      <c r="Y74" s="2" t="s">
        <v>1512</v>
      </c>
      <c r="Z74" s="2" t="s">
        <v>1512</v>
      </c>
      <c r="AA74" s="2" t="s">
        <v>1512</v>
      </c>
      <c r="AB74" s="2" t="s">
        <v>1605</v>
      </c>
      <c r="AC74" s="2" t="s">
        <v>1507</v>
      </c>
    </row>
    <row r="75" customFormat="false" ht="23.85" hidden="false" customHeight="false" outlineLevel="0" collapsed="false">
      <c r="A75" s="2" t="s">
        <v>811</v>
      </c>
      <c r="B75" s="2" t="s">
        <v>1662</v>
      </c>
      <c r="C75" s="2" t="s">
        <v>1506</v>
      </c>
      <c r="D75" s="2" t="s">
        <v>1507</v>
      </c>
      <c r="E75" s="2" t="s">
        <v>235</v>
      </c>
      <c r="F75" s="2" t="n">
        <v>0</v>
      </c>
      <c r="G75" s="2" t="n">
        <v>0</v>
      </c>
      <c r="H75" s="2" t="n">
        <v>0</v>
      </c>
      <c r="I75" s="2" t="n">
        <v>0</v>
      </c>
      <c r="J75" s="2" t="n">
        <v>0</v>
      </c>
      <c r="K75" s="2" t="n">
        <v>1</v>
      </c>
      <c r="L75" s="2" t="n">
        <v>0</v>
      </c>
      <c r="M75" s="2" t="n">
        <v>0</v>
      </c>
      <c r="N75" s="2" t="n">
        <v>1</v>
      </c>
      <c r="O75" s="2" t="n">
        <v>0</v>
      </c>
      <c r="P75" s="2" t="n">
        <v>0</v>
      </c>
      <c r="Q75" s="2" t="n">
        <v>0</v>
      </c>
      <c r="R75" s="2" t="n">
        <v>0</v>
      </c>
      <c r="S75" s="2" t="s">
        <v>1550</v>
      </c>
      <c r="T75" s="2" t="s">
        <v>1541</v>
      </c>
      <c r="U75" s="2" t="n">
        <v>1</v>
      </c>
      <c r="V75" s="2" t="s">
        <v>1510</v>
      </c>
      <c r="W75" s="2" t="s">
        <v>482</v>
      </c>
      <c r="X75" s="2" t="s">
        <v>482</v>
      </c>
      <c r="Y75" s="2" t="s">
        <v>1512</v>
      </c>
      <c r="Z75" s="2" t="s">
        <v>1512</v>
      </c>
      <c r="AA75" s="2" t="s">
        <v>1512</v>
      </c>
      <c r="AB75" s="2" t="s">
        <v>1605</v>
      </c>
      <c r="AC75" s="2" t="s">
        <v>1507</v>
      </c>
    </row>
    <row r="76" customFormat="false" ht="23.85" hidden="false" customHeight="false" outlineLevel="0" collapsed="false">
      <c r="A76" s="2" t="s">
        <v>946</v>
      </c>
      <c r="B76" s="2" t="s">
        <v>1663</v>
      </c>
      <c r="C76" s="2" t="s">
        <v>1506</v>
      </c>
      <c r="D76" s="2" t="s">
        <v>1507</v>
      </c>
      <c r="E76" s="2" t="s">
        <v>235</v>
      </c>
      <c r="F76" s="2" t="n">
        <v>0</v>
      </c>
      <c r="G76" s="2" t="n">
        <v>0</v>
      </c>
      <c r="H76" s="2" t="n">
        <v>0</v>
      </c>
      <c r="I76" s="2" t="n">
        <v>0</v>
      </c>
      <c r="J76" s="2" t="n">
        <v>0</v>
      </c>
      <c r="K76" s="2" t="n">
        <v>1</v>
      </c>
      <c r="L76" s="2" t="n">
        <v>0</v>
      </c>
      <c r="M76" s="2" t="n">
        <v>0</v>
      </c>
      <c r="N76" s="2" t="n">
        <v>0</v>
      </c>
      <c r="O76" s="2" t="n">
        <v>1</v>
      </c>
      <c r="P76" s="2" t="n">
        <v>0</v>
      </c>
      <c r="Q76" s="2" t="n">
        <v>0</v>
      </c>
      <c r="R76" s="2" t="n">
        <v>0</v>
      </c>
      <c r="S76" s="2" t="s">
        <v>848</v>
      </c>
      <c r="T76" s="2" t="s">
        <v>1637</v>
      </c>
      <c r="U76" s="2" t="n">
        <v>1</v>
      </c>
      <c r="V76" s="2" t="s">
        <v>1510</v>
      </c>
      <c r="W76" s="2" t="s">
        <v>482</v>
      </c>
      <c r="X76" s="2" t="s">
        <v>482</v>
      </c>
      <c r="Y76" s="2" t="s">
        <v>1512</v>
      </c>
      <c r="Z76" s="2" t="s">
        <v>1512</v>
      </c>
      <c r="AA76" s="2" t="s">
        <v>1512</v>
      </c>
      <c r="AB76" s="2" t="s">
        <v>1605</v>
      </c>
      <c r="AC76" s="2" t="s">
        <v>1507</v>
      </c>
    </row>
    <row r="77" customFormat="false" ht="23.85" hidden="false" customHeight="false" outlineLevel="0" collapsed="false">
      <c r="A77" s="2" t="s">
        <v>1016</v>
      </c>
      <c r="B77" s="2" t="s">
        <v>1664</v>
      </c>
      <c r="C77" s="2" t="s">
        <v>1506</v>
      </c>
      <c r="D77" s="2" t="s">
        <v>1507</v>
      </c>
      <c r="E77" s="2" t="s">
        <v>235</v>
      </c>
      <c r="F77" s="2" t="n">
        <v>0</v>
      </c>
      <c r="G77" s="2" t="n">
        <v>0</v>
      </c>
      <c r="H77" s="2" t="n">
        <v>0</v>
      </c>
      <c r="I77" s="2" t="n">
        <v>0</v>
      </c>
      <c r="J77" s="2" t="n">
        <v>0</v>
      </c>
      <c r="K77" s="2" t="n">
        <v>1</v>
      </c>
      <c r="L77" s="2" t="n">
        <v>0</v>
      </c>
      <c r="M77" s="2" t="n">
        <v>0</v>
      </c>
      <c r="N77" s="2" t="n">
        <v>0</v>
      </c>
      <c r="O77" s="2" t="n">
        <v>0</v>
      </c>
      <c r="P77" s="2" t="n">
        <v>0</v>
      </c>
      <c r="Q77" s="2" t="n">
        <v>1</v>
      </c>
      <c r="R77" s="2" t="n">
        <v>0</v>
      </c>
      <c r="S77" s="2" t="s">
        <v>848</v>
      </c>
      <c r="T77" s="2" t="s">
        <v>1553</v>
      </c>
      <c r="U77" s="2" t="n">
        <v>1</v>
      </c>
      <c r="V77" s="2" t="s">
        <v>1510</v>
      </c>
      <c r="W77" s="2" t="s">
        <v>1665</v>
      </c>
      <c r="X77" s="2" t="s">
        <v>429</v>
      </c>
      <c r="Y77" s="2" t="s">
        <v>1507</v>
      </c>
      <c r="Z77" s="2" t="s">
        <v>1512</v>
      </c>
      <c r="AA77" s="2" t="s">
        <v>1512</v>
      </c>
      <c r="AB77" s="2" t="s">
        <v>1605</v>
      </c>
      <c r="AC77" s="2" t="s">
        <v>1507</v>
      </c>
    </row>
    <row r="78" customFormat="false" ht="23.85" hidden="false" customHeight="false" outlineLevel="0" collapsed="false">
      <c r="A78" s="2" t="s">
        <v>1062</v>
      </c>
      <c r="B78" s="2" t="s">
        <v>1666</v>
      </c>
      <c r="C78" s="2" t="s">
        <v>1506</v>
      </c>
      <c r="D78" s="2" t="s">
        <v>1507</v>
      </c>
      <c r="E78" s="2" t="s">
        <v>235</v>
      </c>
      <c r="F78" s="2" t="n">
        <v>0</v>
      </c>
      <c r="G78" s="2" t="n">
        <v>0</v>
      </c>
      <c r="H78" s="2" t="n">
        <v>0</v>
      </c>
      <c r="I78" s="2" t="n">
        <v>0</v>
      </c>
      <c r="J78" s="2" t="n">
        <v>1</v>
      </c>
      <c r="K78" s="2" t="n">
        <v>1</v>
      </c>
      <c r="L78" s="2" t="n">
        <v>0</v>
      </c>
      <c r="M78" s="2" t="n">
        <v>0</v>
      </c>
      <c r="N78" s="2" t="n">
        <v>0</v>
      </c>
      <c r="O78" s="2" t="n">
        <v>1</v>
      </c>
      <c r="P78" s="2" t="n">
        <v>0</v>
      </c>
      <c r="Q78" s="2" t="n">
        <v>0</v>
      </c>
      <c r="R78" s="2" t="n">
        <v>0</v>
      </c>
      <c r="S78" s="2" t="s">
        <v>1578</v>
      </c>
      <c r="T78" s="2" t="s">
        <v>1528</v>
      </c>
      <c r="U78" s="2" t="n">
        <v>4</v>
      </c>
      <c r="V78" s="2" t="s">
        <v>1507</v>
      </c>
      <c r="W78" s="2" t="s">
        <v>482</v>
      </c>
      <c r="X78" s="2" t="s">
        <v>482</v>
      </c>
      <c r="Y78" s="2" t="s">
        <v>1512</v>
      </c>
      <c r="Z78" s="2" t="s">
        <v>1512</v>
      </c>
      <c r="AA78" s="2" t="s">
        <v>1512</v>
      </c>
      <c r="AB78" s="2" t="s">
        <v>1605</v>
      </c>
      <c r="AC78" s="2" t="s">
        <v>1507</v>
      </c>
    </row>
    <row r="79" customFormat="false" ht="23.85" hidden="false" customHeight="false" outlineLevel="0" collapsed="false">
      <c r="A79" s="2" t="s">
        <v>790</v>
      </c>
      <c r="B79" s="2" t="s">
        <v>1667</v>
      </c>
      <c r="C79" s="2" t="s">
        <v>1506</v>
      </c>
      <c r="D79" s="2" t="s">
        <v>1507</v>
      </c>
      <c r="E79" s="2" t="s">
        <v>235</v>
      </c>
      <c r="F79" s="2" t="n">
        <v>0</v>
      </c>
      <c r="G79" s="2" t="n">
        <v>0</v>
      </c>
      <c r="H79" s="2" t="n">
        <v>0</v>
      </c>
      <c r="I79" s="2" t="n">
        <v>0</v>
      </c>
      <c r="J79" s="2" t="n">
        <v>1</v>
      </c>
      <c r="K79" s="2" t="n">
        <v>1</v>
      </c>
      <c r="L79" s="2" t="n">
        <v>0</v>
      </c>
      <c r="M79" s="2" t="n">
        <v>0</v>
      </c>
      <c r="N79" s="2" t="n">
        <v>0</v>
      </c>
      <c r="O79" s="2" t="n">
        <v>0</v>
      </c>
      <c r="P79" s="2" t="n">
        <v>0</v>
      </c>
      <c r="Q79" s="2" t="n">
        <v>1</v>
      </c>
      <c r="R79" s="2" t="n">
        <v>0</v>
      </c>
      <c r="S79" s="2" t="s">
        <v>854</v>
      </c>
      <c r="T79" s="2" t="s">
        <v>1668</v>
      </c>
      <c r="U79" s="2" t="n">
        <v>4</v>
      </c>
      <c r="V79" s="2" t="s">
        <v>1510</v>
      </c>
      <c r="W79" s="2" t="s">
        <v>1669</v>
      </c>
      <c r="X79" s="2" t="s">
        <v>429</v>
      </c>
      <c r="Y79" s="2" t="s">
        <v>1512</v>
      </c>
      <c r="Z79" s="2" t="s">
        <v>1512</v>
      </c>
      <c r="AA79" s="2" t="s">
        <v>1512</v>
      </c>
      <c r="AB79" s="2" t="s">
        <v>1605</v>
      </c>
      <c r="AC79" s="2" t="s">
        <v>1507</v>
      </c>
    </row>
    <row r="80" customFormat="false" ht="23.85" hidden="false" customHeight="false" outlineLevel="0" collapsed="false">
      <c r="A80" s="2" t="s">
        <v>1100</v>
      </c>
      <c r="B80" s="2" t="s">
        <v>1670</v>
      </c>
      <c r="C80" s="2" t="s">
        <v>1506</v>
      </c>
      <c r="D80" s="2" t="s">
        <v>1507</v>
      </c>
      <c r="E80" s="2" t="s">
        <v>235</v>
      </c>
      <c r="F80" s="2" t="n">
        <v>0</v>
      </c>
      <c r="G80" s="2" t="n">
        <v>0</v>
      </c>
      <c r="H80" s="2" t="n">
        <v>0</v>
      </c>
      <c r="I80" s="2" t="n">
        <v>0</v>
      </c>
      <c r="J80" s="2" t="n">
        <v>0</v>
      </c>
      <c r="K80" s="2" t="n">
        <v>1</v>
      </c>
      <c r="L80" s="2" t="n">
        <v>0</v>
      </c>
      <c r="M80" s="2" t="n">
        <v>0</v>
      </c>
      <c r="N80" s="2" t="n">
        <v>0</v>
      </c>
      <c r="O80" s="2" t="n">
        <v>0</v>
      </c>
      <c r="P80" s="2" t="n">
        <v>0</v>
      </c>
      <c r="Q80" s="2" t="n">
        <v>1</v>
      </c>
      <c r="R80" s="2" t="n">
        <v>0</v>
      </c>
      <c r="S80" s="2" t="s">
        <v>848</v>
      </c>
      <c r="T80" s="2" t="s">
        <v>1553</v>
      </c>
      <c r="U80" s="2" t="n">
        <v>1</v>
      </c>
      <c r="V80" s="2" t="s">
        <v>1510</v>
      </c>
      <c r="W80" s="2" t="s">
        <v>1671</v>
      </c>
      <c r="X80" s="2" t="s">
        <v>429</v>
      </c>
      <c r="Y80" s="2" t="s">
        <v>1507</v>
      </c>
      <c r="Z80" s="2" t="s">
        <v>1512</v>
      </c>
      <c r="AA80" s="2" t="s">
        <v>1512</v>
      </c>
      <c r="AB80" s="2" t="s">
        <v>1605</v>
      </c>
      <c r="AC80" s="2" t="s">
        <v>1507</v>
      </c>
    </row>
    <row r="81" customFormat="false" ht="23.85" hidden="false" customHeight="false" outlineLevel="0" collapsed="false">
      <c r="A81" s="2" t="s">
        <v>1122</v>
      </c>
      <c r="B81" s="2" t="s">
        <v>1672</v>
      </c>
      <c r="C81" s="2" t="s">
        <v>1506</v>
      </c>
      <c r="D81" s="2" t="s">
        <v>1507</v>
      </c>
      <c r="E81" s="2" t="s">
        <v>235</v>
      </c>
      <c r="F81" s="2" t="n">
        <v>0</v>
      </c>
      <c r="G81" s="2" t="n">
        <v>0</v>
      </c>
      <c r="H81" s="2" t="n">
        <v>0</v>
      </c>
      <c r="I81" s="2" t="n">
        <v>0</v>
      </c>
      <c r="J81" s="2" t="n">
        <v>0</v>
      </c>
      <c r="K81" s="2" t="n">
        <v>1</v>
      </c>
      <c r="L81" s="2" t="n">
        <v>0</v>
      </c>
      <c r="M81" s="2" t="n">
        <v>0</v>
      </c>
      <c r="N81" s="2" t="n">
        <v>0</v>
      </c>
      <c r="O81" s="2" t="n">
        <v>1</v>
      </c>
      <c r="P81" s="2" t="n">
        <v>0</v>
      </c>
      <c r="Q81" s="2" t="n">
        <v>0</v>
      </c>
      <c r="R81" s="2" t="n">
        <v>0</v>
      </c>
      <c r="S81" s="2" t="s">
        <v>848</v>
      </c>
      <c r="T81" s="2" t="s">
        <v>1637</v>
      </c>
      <c r="U81" s="2" t="n">
        <v>1</v>
      </c>
      <c r="V81" s="2" t="s">
        <v>1510</v>
      </c>
      <c r="W81" s="2" t="s">
        <v>482</v>
      </c>
      <c r="X81" s="2" t="s">
        <v>482</v>
      </c>
      <c r="Y81" s="2" t="s">
        <v>1512</v>
      </c>
      <c r="Z81" s="2" t="s">
        <v>1512</v>
      </c>
      <c r="AA81" s="2" t="s">
        <v>1512</v>
      </c>
      <c r="AB81" s="2" t="s">
        <v>1605</v>
      </c>
      <c r="AC81" s="2" t="s">
        <v>1507</v>
      </c>
    </row>
    <row r="82" customFormat="false" ht="23.85" hidden="false" customHeight="false" outlineLevel="0" collapsed="false">
      <c r="A82" s="2" t="s">
        <v>1139</v>
      </c>
      <c r="B82" s="2" t="s">
        <v>1673</v>
      </c>
      <c r="C82" s="2" t="s">
        <v>1506</v>
      </c>
      <c r="D82" s="2" t="s">
        <v>1507</v>
      </c>
      <c r="E82" s="2" t="s">
        <v>235</v>
      </c>
      <c r="F82" s="2" t="n">
        <v>0</v>
      </c>
      <c r="G82" s="2" t="n">
        <v>0</v>
      </c>
      <c r="H82" s="2" t="n">
        <v>0</v>
      </c>
      <c r="I82" s="2" t="n">
        <v>0</v>
      </c>
      <c r="J82" s="2" t="n">
        <v>0</v>
      </c>
      <c r="K82" s="2" t="n">
        <v>1</v>
      </c>
      <c r="L82" s="2" t="n">
        <v>0</v>
      </c>
      <c r="M82" s="2" t="n">
        <v>0</v>
      </c>
      <c r="N82" s="2" t="n">
        <v>0</v>
      </c>
      <c r="O82" s="2" t="n">
        <v>1</v>
      </c>
      <c r="P82" s="2" t="n">
        <v>0</v>
      </c>
      <c r="Q82" s="2" t="n">
        <v>0</v>
      </c>
      <c r="R82" s="2" t="n">
        <v>0</v>
      </c>
      <c r="S82" s="2" t="s">
        <v>848</v>
      </c>
      <c r="T82" s="2" t="s">
        <v>1637</v>
      </c>
      <c r="U82" s="2" t="n">
        <v>1</v>
      </c>
      <c r="V82" s="2" t="s">
        <v>1510</v>
      </c>
      <c r="W82" s="2" t="s">
        <v>482</v>
      </c>
      <c r="X82" s="2" t="s">
        <v>482</v>
      </c>
      <c r="Y82" s="2" t="s">
        <v>1512</v>
      </c>
      <c r="Z82" s="2" t="s">
        <v>1512</v>
      </c>
      <c r="AA82" s="2" t="s">
        <v>1512</v>
      </c>
      <c r="AB82" s="2" t="s">
        <v>1605</v>
      </c>
      <c r="AC82" s="2" t="s">
        <v>1507</v>
      </c>
    </row>
    <row r="83" customFormat="false" ht="23.85" hidden="false" customHeight="false" outlineLevel="0" collapsed="false">
      <c r="A83" s="2" t="s">
        <v>634</v>
      </c>
      <c r="B83" s="2" t="s">
        <v>1674</v>
      </c>
      <c r="C83" s="2" t="s">
        <v>1506</v>
      </c>
      <c r="D83" s="2" t="s">
        <v>1507</v>
      </c>
      <c r="E83" s="2" t="s">
        <v>637</v>
      </c>
      <c r="F83" s="2" t="n">
        <v>0</v>
      </c>
      <c r="G83" s="2" t="n">
        <v>1</v>
      </c>
      <c r="H83" s="2" t="n">
        <v>1</v>
      </c>
      <c r="I83" s="2" t="n">
        <v>0</v>
      </c>
      <c r="J83" s="2" t="n">
        <v>0</v>
      </c>
      <c r="K83" s="2" t="n">
        <v>0</v>
      </c>
      <c r="L83" s="2" t="n">
        <v>0</v>
      </c>
      <c r="M83" s="2" t="n">
        <v>0</v>
      </c>
      <c r="N83" s="2" t="n">
        <v>1</v>
      </c>
      <c r="O83" s="2" t="n">
        <v>0</v>
      </c>
      <c r="P83" s="2" t="n">
        <v>0</v>
      </c>
      <c r="Q83" s="2" t="n">
        <v>0</v>
      </c>
      <c r="R83" s="2" t="n">
        <v>0</v>
      </c>
      <c r="S83" s="2" t="s">
        <v>854</v>
      </c>
      <c r="T83" s="2" t="s">
        <v>1525</v>
      </c>
      <c r="U83" s="2" t="n">
        <v>2</v>
      </c>
      <c r="V83" s="2" t="s">
        <v>1510</v>
      </c>
      <c r="W83" s="2" t="s">
        <v>482</v>
      </c>
      <c r="X83" s="2" t="s">
        <v>482</v>
      </c>
      <c r="Y83" s="2" t="s">
        <v>1512</v>
      </c>
      <c r="Z83" s="2" t="s">
        <v>1512</v>
      </c>
      <c r="AA83" s="2" t="s">
        <v>1512</v>
      </c>
      <c r="AB83" s="2" t="s">
        <v>1605</v>
      </c>
      <c r="AC83" s="2" t="s">
        <v>1507</v>
      </c>
    </row>
    <row r="84" customFormat="false" ht="23.85" hidden="false" customHeight="false" outlineLevel="0" collapsed="false">
      <c r="A84" s="2" t="s">
        <v>734</v>
      </c>
      <c r="B84" s="2" t="s">
        <v>1675</v>
      </c>
      <c r="C84" s="2" t="s">
        <v>1506</v>
      </c>
      <c r="D84" s="2" t="s">
        <v>1507</v>
      </c>
      <c r="E84" s="2" t="s">
        <v>637</v>
      </c>
      <c r="F84" s="2" t="n">
        <v>0</v>
      </c>
      <c r="G84" s="2" t="n">
        <v>0</v>
      </c>
      <c r="H84" s="2" t="n">
        <v>1</v>
      </c>
      <c r="I84" s="2" t="n">
        <v>0</v>
      </c>
      <c r="J84" s="2" t="n">
        <v>0</v>
      </c>
      <c r="K84" s="2" t="n">
        <v>0</v>
      </c>
      <c r="L84" s="2" t="n">
        <v>0</v>
      </c>
      <c r="M84" s="2" t="n">
        <v>0</v>
      </c>
      <c r="N84" s="2" t="n">
        <v>0</v>
      </c>
      <c r="O84" s="2" t="n">
        <v>0</v>
      </c>
      <c r="P84" s="2" t="n">
        <v>0</v>
      </c>
      <c r="Q84" s="2" t="n">
        <v>1</v>
      </c>
      <c r="R84" s="2" t="n">
        <v>0</v>
      </c>
      <c r="S84" s="2" t="s">
        <v>854</v>
      </c>
      <c r="T84" s="2" t="s">
        <v>1525</v>
      </c>
      <c r="U84" s="2" t="n">
        <v>3</v>
      </c>
      <c r="V84" s="2" t="s">
        <v>1510</v>
      </c>
      <c r="W84" s="2" t="s">
        <v>1676</v>
      </c>
      <c r="X84" s="2" t="s">
        <v>429</v>
      </c>
      <c r="Y84" s="2" t="s">
        <v>1507</v>
      </c>
      <c r="Z84" s="2" t="s">
        <v>1512</v>
      </c>
      <c r="AA84" s="2" t="s">
        <v>1512</v>
      </c>
      <c r="AB84" s="2" t="s">
        <v>1605</v>
      </c>
      <c r="AC84" s="2" t="s">
        <v>1507</v>
      </c>
    </row>
    <row r="85" customFormat="false" ht="23.85" hidden="false" customHeight="false" outlineLevel="0" collapsed="false">
      <c r="A85" s="2" t="s">
        <v>756</v>
      </c>
      <c r="B85" s="2" t="s">
        <v>1677</v>
      </c>
      <c r="C85" s="2" t="s">
        <v>1506</v>
      </c>
      <c r="D85" s="2" t="s">
        <v>1507</v>
      </c>
      <c r="E85" s="2" t="s">
        <v>637</v>
      </c>
      <c r="F85" s="2" t="n">
        <v>0</v>
      </c>
      <c r="G85" s="2" t="n">
        <v>0</v>
      </c>
      <c r="H85" s="2" t="n">
        <v>1</v>
      </c>
      <c r="I85" s="2" t="n">
        <v>0</v>
      </c>
      <c r="J85" s="2" t="n">
        <v>0</v>
      </c>
      <c r="K85" s="2" t="n">
        <v>0</v>
      </c>
      <c r="L85" s="2" t="n">
        <v>1</v>
      </c>
      <c r="M85" s="2" t="n">
        <v>0</v>
      </c>
      <c r="N85" s="2" t="n">
        <v>1</v>
      </c>
      <c r="O85" s="2" t="n">
        <v>0</v>
      </c>
      <c r="P85" s="2" t="n">
        <v>0</v>
      </c>
      <c r="Q85" s="2" t="n">
        <v>0</v>
      </c>
      <c r="R85" s="2" t="n">
        <v>0</v>
      </c>
      <c r="S85" s="2" t="s">
        <v>854</v>
      </c>
      <c r="T85" s="2" t="s">
        <v>1575</v>
      </c>
      <c r="U85" s="2" t="n">
        <v>2</v>
      </c>
      <c r="V85" s="2" t="s">
        <v>1510</v>
      </c>
      <c r="W85" s="2" t="s">
        <v>482</v>
      </c>
      <c r="X85" s="2" t="s">
        <v>482</v>
      </c>
      <c r="Y85" s="2" t="s">
        <v>1512</v>
      </c>
      <c r="Z85" s="2" t="s">
        <v>1512</v>
      </c>
      <c r="AA85" s="2" t="s">
        <v>1507</v>
      </c>
      <c r="AB85" s="2" t="s">
        <v>1605</v>
      </c>
      <c r="AC85" s="2" t="s">
        <v>1507</v>
      </c>
    </row>
    <row r="86" customFormat="false" ht="23.85" hidden="false" customHeight="false" outlineLevel="0" collapsed="false">
      <c r="A86" s="2" t="s">
        <v>653</v>
      </c>
      <c r="B86" s="2" t="s">
        <v>1678</v>
      </c>
      <c r="C86" s="2" t="s">
        <v>1506</v>
      </c>
      <c r="D86" s="2" t="s">
        <v>1507</v>
      </c>
      <c r="E86" s="2" t="s">
        <v>235</v>
      </c>
      <c r="F86" s="2" t="n">
        <v>0</v>
      </c>
      <c r="G86" s="2" t="n">
        <v>0</v>
      </c>
      <c r="H86" s="2" t="n">
        <v>1</v>
      </c>
      <c r="I86" s="2" t="n">
        <v>0</v>
      </c>
      <c r="J86" s="2" t="n">
        <v>0</v>
      </c>
      <c r="K86" s="2" t="n">
        <v>1</v>
      </c>
      <c r="L86" s="2" t="n">
        <v>0</v>
      </c>
      <c r="M86" s="2" t="n">
        <v>0</v>
      </c>
      <c r="N86" s="2" t="n">
        <v>0</v>
      </c>
      <c r="O86" s="2" t="n">
        <v>1</v>
      </c>
      <c r="P86" s="2" t="n">
        <v>0</v>
      </c>
      <c r="Q86" s="2" t="n">
        <v>0</v>
      </c>
      <c r="R86" s="2" t="n">
        <v>0</v>
      </c>
      <c r="S86" s="2" t="s">
        <v>854</v>
      </c>
      <c r="T86" s="2" t="s">
        <v>1525</v>
      </c>
      <c r="U86" s="2" t="n">
        <v>2</v>
      </c>
      <c r="V86" s="2" t="s">
        <v>1510</v>
      </c>
      <c r="W86" s="2" t="s">
        <v>482</v>
      </c>
      <c r="X86" s="2" t="s">
        <v>482</v>
      </c>
      <c r="Y86" s="2" t="s">
        <v>1512</v>
      </c>
      <c r="Z86" s="2" t="s">
        <v>1512</v>
      </c>
      <c r="AA86" s="2" t="s">
        <v>1512</v>
      </c>
      <c r="AB86" s="2" t="s">
        <v>1605</v>
      </c>
      <c r="AC86" s="2" t="s">
        <v>1507</v>
      </c>
    </row>
    <row r="87" customFormat="false" ht="23.85" hidden="false" customHeight="false" outlineLevel="0" collapsed="false">
      <c r="A87" s="2" t="s">
        <v>1069</v>
      </c>
      <c r="B87" s="2" t="s">
        <v>1679</v>
      </c>
      <c r="C87" s="2" t="s">
        <v>1506</v>
      </c>
      <c r="D87" s="2" t="s">
        <v>1507</v>
      </c>
      <c r="E87" s="2" t="s">
        <v>637</v>
      </c>
      <c r="F87" s="2" t="n">
        <v>0</v>
      </c>
      <c r="G87" s="2" t="n">
        <v>0</v>
      </c>
      <c r="H87" s="2" t="n">
        <v>1</v>
      </c>
      <c r="I87" s="2" t="n">
        <v>0</v>
      </c>
      <c r="J87" s="2" t="n">
        <v>0</v>
      </c>
      <c r="K87" s="2" t="n">
        <v>0</v>
      </c>
      <c r="L87" s="2" t="n">
        <v>1</v>
      </c>
      <c r="M87" s="2" t="n">
        <v>0</v>
      </c>
      <c r="N87" s="2" t="n">
        <v>0</v>
      </c>
      <c r="O87" s="2" t="n">
        <v>1</v>
      </c>
      <c r="P87" s="2" t="n">
        <v>0</v>
      </c>
      <c r="Q87" s="2" t="n">
        <v>0</v>
      </c>
      <c r="R87" s="2" t="n">
        <v>0</v>
      </c>
      <c r="S87" s="2" t="s">
        <v>854</v>
      </c>
      <c r="T87" s="2" t="s">
        <v>1525</v>
      </c>
      <c r="U87" s="2" t="n">
        <v>2</v>
      </c>
      <c r="V87" s="2" t="s">
        <v>1510</v>
      </c>
      <c r="W87" s="2" t="s">
        <v>482</v>
      </c>
      <c r="X87" s="2" t="s">
        <v>482</v>
      </c>
      <c r="Y87" s="2" t="s">
        <v>1512</v>
      </c>
      <c r="Z87" s="2" t="s">
        <v>1512</v>
      </c>
      <c r="AA87" s="2" t="s">
        <v>1512</v>
      </c>
      <c r="AB87" s="2" t="s">
        <v>1605</v>
      </c>
      <c r="AC87" s="2" t="s">
        <v>1507</v>
      </c>
    </row>
    <row r="88" customFormat="false" ht="23.85" hidden="false" customHeight="false" outlineLevel="0" collapsed="false">
      <c r="A88" s="2" t="s">
        <v>1082</v>
      </c>
      <c r="B88" s="2" t="s">
        <v>1680</v>
      </c>
      <c r="C88" s="2" t="s">
        <v>1506</v>
      </c>
      <c r="D88" s="2" t="s">
        <v>1507</v>
      </c>
      <c r="E88" s="2" t="s">
        <v>637</v>
      </c>
      <c r="F88" s="2" t="n">
        <v>0</v>
      </c>
      <c r="G88" s="2" t="n">
        <v>0</v>
      </c>
      <c r="H88" s="2" t="n">
        <v>1</v>
      </c>
      <c r="I88" s="2" t="n">
        <v>0</v>
      </c>
      <c r="J88" s="2" t="n">
        <v>0</v>
      </c>
      <c r="K88" s="2" t="n">
        <v>0</v>
      </c>
      <c r="L88" s="2" t="n">
        <v>1</v>
      </c>
      <c r="M88" s="2" t="n">
        <v>0</v>
      </c>
      <c r="N88" s="2" t="n">
        <v>0</v>
      </c>
      <c r="O88" s="2" t="n">
        <v>1</v>
      </c>
      <c r="P88" s="2" t="n">
        <v>0</v>
      </c>
      <c r="Q88" s="2" t="n">
        <v>0</v>
      </c>
      <c r="R88" s="2" t="n">
        <v>0</v>
      </c>
      <c r="S88" s="2" t="s">
        <v>854</v>
      </c>
      <c r="T88" s="2" t="s">
        <v>1525</v>
      </c>
      <c r="U88" s="2" t="n">
        <v>2</v>
      </c>
      <c r="V88" s="2" t="s">
        <v>1510</v>
      </c>
      <c r="W88" s="2" t="s">
        <v>482</v>
      </c>
      <c r="X88" s="2" t="s">
        <v>482</v>
      </c>
      <c r="Y88" s="2" t="s">
        <v>1512</v>
      </c>
      <c r="Z88" s="2" t="s">
        <v>1512</v>
      </c>
      <c r="AA88" s="2" t="s">
        <v>1512</v>
      </c>
      <c r="AB88" s="2" t="s">
        <v>1605</v>
      </c>
      <c r="AC88" s="2" t="s">
        <v>1507</v>
      </c>
    </row>
    <row r="89" customFormat="false" ht="23.85" hidden="false" customHeight="false" outlineLevel="0" collapsed="false">
      <c r="A89" s="2" t="s">
        <v>890</v>
      </c>
      <c r="B89" s="2" t="s">
        <v>1681</v>
      </c>
      <c r="C89" s="2" t="s">
        <v>1506</v>
      </c>
      <c r="D89" s="2" t="s">
        <v>1507</v>
      </c>
      <c r="E89" s="2" t="s">
        <v>1034</v>
      </c>
      <c r="F89" s="2" t="n">
        <v>0</v>
      </c>
      <c r="G89" s="2" t="n">
        <v>0</v>
      </c>
      <c r="H89" s="2" t="n">
        <v>1</v>
      </c>
      <c r="I89" s="2" t="n">
        <v>0</v>
      </c>
      <c r="J89" s="2" t="n">
        <v>1</v>
      </c>
      <c r="K89" s="2" t="n">
        <v>0</v>
      </c>
      <c r="L89" s="2" t="n">
        <v>0</v>
      </c>
      <c r="M89" s="2" t="n">
        <v>0</v>
      </c>
      <c r="N89" s="2" t="n">
        <v>1</v>
      </c>
      <c r="O89" s="2" t="n">
        <v>0</v>
      </c>
      <c r="P89" s="2" t="n">
        <v>0</v>
      </c>
      <c r="Q89" s="2" t="n">
        <v>0</v>
      </c>
      <c r="R89" s="2" t="n">
        <v>0</v>
      </c>
      <c r="S89" s="2" t="s">
        <v>1682</v>
      </c>
      <c r="T89" s="2" t="s">
        <v>1595</v>
      </c>
      <c r="U89" s="2" t="n">
        <v>4</v>
      </c>
      <c r="V89" s="2" t="s">
        <v>1507</v>
      </c>
      <c r="W89" s="2" t="s">
        <v>482</v>
      </c>
      <c r="X89" s="2" t="s">
        <v>482</v>
      </c>
      <c r="Y89" s="2" t="s">
        <v>1512</v>
      </c>
      <c r="Z89" s="2" t="s">
        <v>1507</v>
      </c>
      <c r="AA89" s="2" t="s">
        <v>1512</v>
      </c>
      <c r="AB89" s="2" t="s">
        <v>1605</v>
      </c>
      <c r="AC89" s="2" t="s">
        <v>1507</v>
      </c>
    </row>
    <row r="90" customFormat="false" ht="35.05" hidden="false" customHeight="false" outlineLevel="0" collapsed="false">
      <c r="A90" s="2" t="s">
        <v>1030</v>
      </c>
      <c r="B90" s="2" t="s">
        <v>1683</v>
      </c>
      <c r="C90" s="2" t="s">
        <v>1506</v>
      </c>
      <c r="D90" s="2" t="s">
        <v>1507</v>
      </c>
      <c r="E90" s="2" t="s">
        <v>1684</v>
      </c>
      <c r="F90" s="2" t="n">
        <v>0</v>
      </c>
      <c r="G90" s="2" t="n">
        <v>0</v>
      </c>
      <c r="H90" s="2" t="n">
        <v>0</v>
      </c>
      <c r="I90" s="2" t="n">
        <v>0</v>
      </c>
      <c r="J90" s="2" t="n">
        <v>0</v>
      </c>
      <c r="K90" s="2" t="n">
        <v>0</v>
      </c>
      <c r="L90" s="2" t="n">
        <v>0</v>
      </c>
      <c r="M90" s="2" t="n">
        <v>0</v>
      </c>
      <c r="N90" s="2" t="n">
        <v>0</v>
      </c>
      <c r="O90" s="2" t="n">
        <v>1</v>
      </c>
      <c r="P90" s="2" t="n">
        <v>0</v>
      </c>
      <c r="Q90" s="2" t="n">
        <v>0</v>
      </c>
      <c r="R90" s="2" t="n">
        <v>0</v>
      </c>
      <c r="S90" s="2" t="s">
        <v>848</v>
      </c>
      <c r="T90" s="2" t="s">
        <v>1579</v>
      </c>
      <c r="U90" s="2" t="n">
        <v>4</v>
      </c>
      <c r="V90" s="2" t="s">
        <v>1507</v>
      </c>
      <c r="W90" s="2" t="s">
        <v>482</v>
      </c>
      <c r="X90" s="2" t="s">
        <v>482</v>
      </c>
      <c r="Y90" s="2" t="s">
        <v>1512</v>
      </c>
      <c r="Z90" s="2" t="s">
        <v>1512</v>
      </c>
      <c r="AA90" s="2" t="s">
        <v>1512</v>
      </c>
      <c r="AB90" s="2" t="s">
        <v>1605</v>
      </c>
      <c r="AC90" s="2" t="s">
        <v>1507</v>
      </c>
    </row>
    <row r="91" customFormat="false" ht="35.05" hidden="false" customHeight="false" outlineLevel="0" collapsed="false">
      <c r="A91" s="2" t="s">
        <v>1025</v>
      </c>
      <c r="B91" s="2" t="s">
        <v>1685</v>
      </c>
      <c r="C91" s="2" t="s">
        <v>1506</v>
      </c>
      <c r="D91" s="2" t="s">
        <v>1507</v>
      </c>
      <c r="E91" s="2" t="s">
        <v>1028</v>
      </c>
      <c r="F91" s="2" t="n">
        <v>0</v>
      </c>
      <c r="G91" s="2" t="n">
        <v>0</v>
      </c>
      <c r="H91" s="2" t="n">
        <v>0</v>
      </c>
      <c r="I91" s="2" t="n">
        <v>1</v>
      </c>
      <c r="J91" s="2" t="n">
        <v>0</v>
      </c>
      <c r="K91" s="2" t="n">
        <v>0</v>
      </c>
      <c r="L91" s="2" t="n">
        <v>1</v>
      </c>
      <c r="M91" s="2" t="n">
        <v>0</v>
      </c>
      <c r="N91" s="2" t="n">
        <v>1</v>
      </c>
      <c r="O91" s="2" t="n">
        <v>0</v>
      </c>
      <c r="P91" s="2" t="n">
        <v>0</v>
      </c>
      <c r="Q91" s="2" t="n">
        <v>1</v>
      </c>
      <c r="R91" s="2" t="n">
        <v>0</v>
      </c>
      <c r="S91" s="2" t="s">
        <v>854</v>
      </c>
      <c r="T91" s="2" t="s">
        <v>1686</v>
      </c>
      <c r="U91" s="2" t="n">
        <v>5</v>
      </c>
      <c r="V91" s="2" t="s">
        <v>1507</v>
      </c>
      <c r="W91" s="2" t="s">
        <v>1687</v>
      </c>
      <c r="X91" s="2" t="s">
        <v>435</v>
      </c>
      <c r="Y91" s="2" t="s">
        <v>1512</v>
      </c>
      <c r="Z91" s="2" t="s">
        <v>1512</v>
      </c>
      <c r="AA91" s="2" t="s">
        <v>1512</v>
      </c>
      <c r="AB91" s="2" t="s">
        <v>1688</v>
      </c>
      <c r="AC91" s="2" t="s">
        <v>1510</v>
      </c>
    </row>
    <row r="92" customFormat="false" ht="23.85" hidden="false" customHeight="false" outlineLevel="0" collapsed="false">
      <c r="A92" s="2" t="s">
        <v>510</v>
      </c>
      <c r="B92" s="2" t="s">
        <v>1689</v>
      </c>
      <c r="C92" s="2" t="s">
        <v>1506</v>
      </c>
      <c r="D92" s="2" t="s">
        <v>1507</v>
      </c>
      <c r="E92" s="2" t="s">
        <v>789</v>
      </c>
      <c r="F92" s="2" t="n">
        <v>1</v>
      </c>
      <c r="G92" s="2" t="n">
        <v>0</v>
      </c>
      <c r="H92" s="2" t="n">
        <v>0</v>
      </c>
      <c r="I92" s="2" t="n">
        <v>0</v>
      </c>
      <c r="J92" s="2" t="n">
        <v>0</v>
      </c>
      <c r="K92" s="2" t="n">
        <v>0</v>
      </c>
      <c r="L92" s="2" t="n">
        <v>1</v>
      </c>
      <c r="M92" s="2" t="n">
        <v>0</v>
      </c>
      <c r="N92" s="2" t="n">
        <v>0</v>
      </c>
      <c r="O92" s="2" t="n">
        <v>1</v>
      </c>
      <c r="P92" s="2" t="n">
        <v>0</v>
      </c>
      <c r="Q92" s="2" t="n">
        <v>1</v>
      </c>
      <c r="R92" s="2" t="n">
        <v>0</v>
      </c>
      <c r="S92" s="2" t="s">
        <v>848</v>
      </c>
      <c r="T92" s="2" t="s">
        <v>1509</v>
      </c>
      <c r="U92" s="2" t="n">
        <v>2</v>
      </c>
      <c r="V92" s="2" t="s">
        <v>1510</v>
      </c>
      <c r="W92" s="2" t="s">
        <v>1690</v>
      </c>
      <c r="X92" s="2" t="s">
        <v>429</v>
      </c>
      <c r="Y92" s="2" t="s">
        <v>1512</v>
      </c>
      <c r="Z92" s="2" t="s">
        <v>1512</v>
      </c>
      <c r="AA92" s="2" t="s">
        <v>1512</v>
      </c>
      <c r="AB92" s="2" t="s">
        <v>1605</v>
      </c>
      <c r="AC92" s="2" t="s">
        <v>1507</v>
      </c>
    </row>
    <row r="93" customFormat="false" ht="23.85" hidden="false" customHeight="false" outlineLevel="0" collapsed="false">
      <c r="A93" s="2" t="s">
        <v>658</v>
      </c>
      <c r="B93" s="2" t="s">
        <v>1691</v>
      </c>
      <c r="C93" s="2" t="s">
        <v>1506</v>
      </c>
      <c r="D93" s="2" t="s">
        <v>1507</v>
      </c>
      <c r="E93" s="2" t="s">
        <v>789</v>
      </c>
      <c r="F93" s="2" t="n">
        <v>1</v>
      </c>
      <c r="G93" s="2" t="n">
        <v>1</v>
      </c>
      <c r="H93" s="2" t="n">
        <v>0</v>
      </c>
      <c r="I93" s="2" t="n">
        <v>0</v>
      </c>
      <c r="J93" s="2" t="n">
        <v>0</v>
      </c>
      <c r="K93" s="2" t="n">
        <v>0</v>
      </c>
      <c r="L93" s="2" t="n">
        <v>0</v>
      </c>
      <c r="M93" s="2" t="n">
        <v>0</v>
      </c>
      <c r="N93" s="2" t="n">
        <v>0</v>
      </c>
      <c r="O93" s="2" t="n">
        <v>0</v>
      </c>
      <c r="P93" s="2" t="n">
        <v>0</v>
      </c>
      <c r="Q93" s="2" t="n">
        <v>1</v>
      </c>
      <c r="R93" s="2" t="n">
        <v>0</v>
      </c>
      <c r="S93" s="2" t="s">
        <v>1692</v>
      </c>
      <c r="T93" s="2" t="s">
        <v>1693</v>
      </c>
      <c r="U93" s="2" t="n">
        <v>2</v>
      </c>
      <c r="V93" s="2" t="s">
        <v>1510</v>
      </c>
      <c r="W93" s="2" t="s">
        <v>1518</v>
      </c>
      <c r="X93" s="2" t="s">
        <v>421</v>
      </c>
      <c r="Y93" s="2" t="s">
        <v>1512</v>
      </c>
      <c r="Z93" s="2" t="s">
        <v>1512</v>
      </c>
      <c r="AA93" s="2" t="s">
        <v>1507</v>
      </c>
      <c r="AB93" s="2" t="s">
        <v>1605</v>
      </c>
      <c r="AC93" s="2" t="s">
        <v>1507</v>
      </c>
    </row>
    <row r="94" customFormat="false" ht="23.85" hidden="false" customHeight="false" outlineLevel="0" collapsed="false">
      <c r="A94" s="2" t="s">
        <v>784</v>
      </c>
      <c r="B94" s="2" t="s">
        <v>1694</v>
      </c>
      <c r="C94" s="2" t="s">
        <v>1506</v>
      </c>
      <c r="D94" s="2" t="s">
        <v>1507</v>
      </c>
      <c r="E94" s="2" t="s">
        <v>789</v>
      </c>
      <c r="F94" s="2" t="n">
        <v>1</v>
      </c>
      <c r="G94" s="2" t="n">
        <v>0</v>
      </c>
      <c r="H94" s="2" t="n">
        <v>0</v>
      </c>
      <c r="I94" s="2" t="n">
        <v>0</v>
      </c>
      <c r="J94" s="2" t="n">
        <v>0</v>
      </c>
      <c r="K94" s="2" t="n">
        <v>0</v>
      </c>
      <c r="L94" s="2" t="n">
        <v>0</v>
      </c>
      <c r="M94" s="2" t="n">
        <v>0</v>
      </c>
      <c r="N94" s="2" t="n">
        <v>0</v>
      </c>
      <c r="O94" s="2" t="n">
        <v>0</v>
      </c>
      <c r="P94" s="2" t="n">
        <v>0</v>
      </c>
      <c r="Q94" s="2" t="n">
        <v>1</v>
      </c>
      <c r="R94" s="2" t="n">
        <v>0</v>
      </c>
      <c r="S94" s="2" t="s">
        <v>848</v>
      </c>
      <c r="T94" s="2" t="s">
        <v>1509</v>
      </c>
      <c r="U94" s="2" t="n">
        <v>2</v>
      </c>
      <c r="V94" s="2" t="s">
        <v>1510</v>
      </c>
      <c r="W94" s="2" t="s">
        <v>1690</v>
      </c>
      <c r="X94" s="2" t="s">
        <v>429</v>
      </c>
      <c r="Y94" s="2" t="s">
        <v>1512</v>
      </c>
      <c r="Z94" s="2" t="s">
        <v>1512</v>
      </c>
      <c r="AA94" s="2" t="s">
        <v>1512</v>
      </c>
      <c r="AB94" s="2" t="s">
        <v>1605</v>
      </c>
      <c r="AC94" s="2" t="s">
        <v>1507</v>
      </c>
    </row>
    <row r="95" customFormat="false" ht="23.85" hidden="false" customHeight="false" outlineLevel="0" collapsed="false">
      <c r="A95" s="2" t="s">
        <v>612</v>
      </c>
      <c r="B95" s="2" t="s">
        <v>1695</v>
      </c>
      <c r="C95" s="2" t="s">
        <v>1506</v>
      </c>
      <c r="D95" s="2" t="s">
        <v>1507</v>
      </c>
      <c r="E95" s="2" t="s">
        <v>616</v>
      </c>
      <c r="F95" s="2" t="n">
        <v>0</v>
      </c>
      <c r="G95" s="2" t="n">
        <v>1</v>
      </c>
      <c r="H95" s="2" t="n">
        <v>0</v>
      </c>
      <c r="I95" s="2" t="n">
        <v>0</v>
      </c>
      <c r="J95" s="2" t="n">
        <v>0</v>
      </c>
      <c r="K95" s="2" t="n">
        <v>0</v>
      </c>
      <c r="L95" s="2" t="n">
        <v>0</v>
      </c>
      <c r="M95" s="2" t="n">
        <v>0</v>
      </c>
      <c r="N95" s="2" t="n">
        <v>0</v>
      </c>
      <c r="O95" s="2" t="n">
        <v>1</v>
      </c>
      <c r="P95" s="2" t="n">
        <v>0</v>
      </c>
      <c r="Q95" s="2" t="n">
        <v>0</v>
      </c>
      <c r="R95" s="2" t="n">
        <v>0</v>
      </c>
      <c r="S95" s="2" t="s">
        <v>848</v>
      </c>
      <c r="T95" s="2" t="s">
        <v>1693</v>
      </c>
      <c r="U95" s="2" t="n">
        <v>2</v>
      </c>
      <c r="V95" s="2" t="s">
        <v>1510</v>
      </c>
      <c r="W95" s="2" t="s">
        <v>482</v>
      </c>
      <c r="X95" s="2" t="s">
        <v>482</v>
      </c>
      <c r="Y95" s="2" t="s">
        <v>1512</v>
      </c>
      <c r="Z95" s="2" t="s">
        <v>1512</v>
      </c>
      <c r="AA95" s="2" t="s">
        <v>1512</v>
      </c>
      <c r="AB95" s="2" t="s">
        <v>1605</v>
      </c>
      <c r="AC95" s="2" t="s">
        <v>1507</v>
      </c>
    </row>
    <row r="96" customFormat="false" ht="23.85" hidden="false" customHeight="false" outlineLevel="0" collapsed="false">
      <c r="A96" s="2" t="s">
        <v>648</v>
      </c>
      <c r="B96" s="2" t="s">
        <v>1696</v>
      </c>
      <c r="C96" s="2" t="s">
        <v>1506</v>
      </c>
      <c r="D96" s="2" t="s">
        <v>1507</v>
      </c>
      <c r="E96" s="2" t="s">
        <v>616</v>
      </c>
      <c r="F96" s="2" t="n">
        <v>0</v>
      </c>
      <c r="G96" s="2" t="n">
        <v>1</v>
      </c>
      <c r="H96" s="2" t="n">
        <v>0</v>
      </c>
      <c r="I96" s="2" t="n">
        <v>0</v>
      </c>
      <c r="J96" s="2" t="n">
        <v>0</v>
      </c>
      <c r="K96" s="2" t="n">
        <v>0</v>
      </c>
      <c r="L96" s="2" t="n">
        <v>1</v>
      </c>
      <c r="M96" s="2" t="n">
        <v>0</v>
      </c>
      <c r="N96" s="2" t="n">
        <v>0</v>
      </c>
      <c r="O96" s="2" t="n">
        <v>0</v>
      </c>
      <c r="P96" s="2" t="n">
        <v>0</v>
      </c>
      <c r="Q96" s="2" t="n">
        <v>1</v>
      </c>
      <c r="R96" s="2" t="n">
        <v>0</v>
      </c>
      <c r="S96" s="2" t="s">
        <v>848</v>
      </c>
      <c r="T96" s="2" t="s">
        <v>1509</v>
      </c>
      <c r="U96" s="2" t="n">
        <v>2</v>
      </c>
      <c r="V96" s="2" t="s">
        <v>1510</v>
      </c>
      <c r="W96" s="2" t="s">
        <v>1697</v>
      </c>
      <c r="X96" s="2" t="s">
        <v>429</v>
      </c>
      <c r="Y96" s="2" t="s">
        <v>1507</v>
      </c>
      <c r="Z96" s="2" t="s">
        <v>1512</v>
      </c>
      <c r="AA96" s="2" t="s">
        <v>1512</v>
      </c>
      <c r="AB96" s="2" t="s">
        <v>1605</v>
      </c>
      <c r="AC96" s="2" t="s">
        <v>1507</v>
      </c>
    </row>
    <row r="97" customFormat="false" ht="23.85" hidden="false" customHeight="false" outlineLevel="0" collapsed="false">
      <c r="A97" s="2" t="s">
        <v>587</v>
      </c>
      <c r="B97" s="2" t="s">
        <v>1698</v>
      </c>
      <c r="C97" s="2" t="s">
        <v>1506</v>
      </c>
      <c r="D97" s="2" t="s">
        <v>1507</v>
      </c>
      <c r="E97" s="2" t="s">
        <v>616</v>
      </c>
      <c r="F97" s="2" t="n">
        <v>0</v>
      </c>
      <c r="G97" s="2" t="n">
        <v>1</v>
      </c>
      <c r="H97" s="2" t="n">
        <v>0</v>
      </c>
      <c r="I97" s="2" t="n">
        <v>0</v>
      </c>
      <c r="J97" s="2" t="n">
        <v>0</v>
      </c>
      <c r="K97" s="2" t="n">
        <v>0</v>
      </c>
      <c r="L97" s="2" t="n">
        <v>1</v>
      </c>
      <c r="M97" s="2" t="n">
        <v>0</v>
      </c>
      <c r="N97" s="2" t="n">
        <v>0</v>
      </c>
      <c r="O97" s="2" t="n">
        <v>0</v>
      </c>
      <c r="P97" s="2" t="n">
        <v>0</v>
      </c>
      <c r="Q97" s="2" t="n">
        <v>1</v>
      </c>
      <c r="R97" s="2" t="n">
        <v>0</v>
      </c>
      <c r="S97" s="2" t="s">
        <v>848</v>
      </c>
      <c r="T97" s="2" t="s">
        <v>1699</v>
      </c>
      <c r="U97" s="2" t="n">
        <v>4</v>
      </c>
      <c r="V97" s="2" t="s">
        <v>1510</v>
      </c>
      <c r="W97" s="2" t="s">
        <v>1700</v>
      </c>
      <c r="X97" s="2" t="s">
        <v>429</v>
      </c>
      <c r="Y97" s="2" t="s">
        <v>1512</v>
      </c>
      <c r="Z97" s="2" t="s">
        <v>1512</v>
      </c>
      <c r="AA97" s="2" t="s">
        <v>1512</v>
      </c>
      <c r="AB97" s="2" t="s">
        <v>1605</v>
      </c>
      <c r="AC97" s="2" t="s">
        <v>1507</v>
      </c>
    </row>
    <row r="99" customFormat="false" ht="15" hidden="false" customHeight="false" outlineLevel="0" collapsed="false">
      <c r="A99" s="7" t="s">
        <v>1701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4"/>
    <col collapsed="false" customWidth="true" hidden="false" outlineLevel="0" max="3" min="3" style="0" width="18"/>
    <col collapsed="false" customWidth="true" hidden="false" outlineLevel="0" max="4" min="4" style="0" width="22"/>
    <col collapsed="false" customWidth="true" hidden="false" outlineLevel="0" max="5" min="5" style="0" width="9"/>
    <col collapsed="false" customWidth="true" hidden="false" outlineLevel="0" max="6" min="6" style="0" width="24"/>
    <col collapsed="false" customWidth="true" hidden="false" outlineLevel="0" max="7" min="7" style="0" width="9"/>
  </cols>
  <sheetData>
    <row r="1" customFormat="false" ht="39.55" hidden="false" customHeight="false" outlineLevel="0" collapsed="false">
      <c r="A1" s="1" t="s">
        <v>215</v>
      </c>
      <c r="B1" s="1" t="s">
        <v>1488</v>
      </c>
      <c r="C1" s="1" t="s">
        <v>1702</v>
      </c>
      <c r="D1" s="1" t="s">
        <v>1703</v>
      </c>
      <c r="E1" s="1" t="s">
        <v>1704</v>
      </c>
      <c r="F1" s="1" t="s">
        <v>1705</v>
      </c>
      <c r="G1" s="1" t="s">
        <v>1706</v>
      </c>
    </row>
    <row r="2" customFormat="false" ht="15" hidden="false" customHeight="false" outlineLevel="0" collapsed="false">
      <c r="A2" s="11" t="s">
        <v>1016</v>
      </c>
      <c r="B2" s="11" t="s">
        <v>1664</v>
      </c>
      <c r="C2" s="11" t="s">
        <v>235</v>
      </c>
      <c r="D2" s="11" t="s">
        <v>235</v>
      </c>
      <c r="E2" s="11" t="n">
        <f aca="false">IF(D2="","",IF(C2=D2,1,0))</f>
        <v>1</v>
      </c>
      <c r="F2" s="12" t="s">
        <v>235</v>
      </c>
      <c r="G2" s="11" t="n">
        <f aca="false">IF(F2="","",IF(C2=F2,1,0))</f>
        <v>1</v>
      </c>
    </row>
    <row r="3" customFormat="false" ht="15" hidden="false" customHeight="false" outlineLevel="0" collapsed="false">
      <c r="A3" s="11" t="s">
        <v>890</v>
      </c>
      <c r="B3" s="11" t="s">
        <v>1681</v>
      </c>
      <c r="C3" s="11" t="s">
        <v>1034</v>
      </c>
      <c r="D3" s="11" t="s">
        <v>1034</v>
      </c>
      <c r="E3" s="11" t="n">
        <f aca="false">IF(D3="","",IF(C3=D3,1,0))</f>
        <v>1</v>
      </c>
      <c r="F3" s="12" t="s">
        <v>1034</v>
      </c>
      <c r="G3" s="11" t="n">
        <f aca="false">IF(F3="","",IF(C3=F3,1,0))</f>
        <v>1</v>
      </c>
    </row>
    <row r="4" customFormat="false" ht="15" hidden="false" customHeight="false" outlineLevel="0" collapsed="false">
      <c r="A4" s="11" t="s">
        <v>1062</v>
      </c>
      <c r="B4" s="11" t="s">
        <v>1666</v>
      </c>
      <c r="C4" s="11" t="s">
        <v>235</v>
      </c>
      <c r="D4" s="11" t="s">
        <v>235</v>
      </c>
      <c r="E4" s="11" t="n">
        <f aca="false">IF(D4="","",IF(C4=D4,1,0))</f>
        <v>1</v>
      </c>
      <c r="F4" s="12" t="s">
        <v>235</v>
      </c>
      <c r="G4" s="11" t="n">
        <f aca="false">IF(F4="","",IF(C4=F4,1,0))</f>
        <v>1</v>
      </c>
    </row>
    <row r="5" customFormat="false" ht="15" hidden="false" customHeight="false" outlineLevel="0" collapsed="false">
      <c r="A5" s="11" t="s">
        <v>918</v>
      </c>
      <c r="B5" s="11" t="s">
        <v>1622</v>
      </c>
      <c r="C5" s="11" t="s">
        <v>226</v>
      </c>
      <c r="D5" s="11" t="s">
        <v>226</v>
      </c>
      <c r="E5" s="11" t="n">
        <f aca="false">IF(D5="","",IF(C5=D5,1,0))</f>
        <v>1</v>
      </c>
      <c r="F5" s="12" t="s">
        <v>226</v>
      </c>
      <c r="G5" s="11" t="n">
        <f aca="false">IF(F5="","",IF(C5=F5,1,0))</f>
        <v>1</v>
      </c>
    </row>
    <row r="6" customFormat="false" ht="15" hidden="false" customHeight="false" outlineLevel="0" collapsed="false">
      <c r="A6" s="11" t="s">
        <v>734</v>
      </c>
      <c r="B6" s="11" t="s">
        <v>1675</v>
      </c>
      <c r="C6" s="11" t="s">
        <v>637</v>
      </c>
      <c r="D6" s="11" t="s">
        <v>637</v>
      </c>
      <c r="E6" s="11" t="n">
        <f aca="false">IF(D6="","",IF(C6=D6,1,0))</f>
        <v>1</v>
      </c>
      <c r="F6" s="12" t="s">
        <v>637</v>
      </c>
      <c r="G6" s="11" t="n">
        <f aca="false">IF(F6="","",IF(C6=F6,1,0))</f>
        <v>1</v>
      </c>
    </row>
    <row r="7" customFormat="false" ht="15" hidden="false" customHeight="false" outlineLevel="0" collapsed="false">
      <c r="A7" s="11" t="s">
        <v>502</v>
      </c>
      <c r="B7" s="11" t="s">
        <v>1607</v>
      </c>
      <c r="C7" s="11" t="s">
        <v>226</v>
      </c>
      <c r="D7" s="11" t="s">
        <v>226</v>
      </c>
      <c r="E7" s="11" t="n">
        <f aca="false">IF(D7="","",IF(C7=D7,1,0))</f>
        <v>1</v>
      </c>
      <c r="F7" s="12" t="s">
        <v>226</v>
      </c>
      <c r="G7" s="11" t="n">
        <f aca="false">IF(F7="","",IF(C7=F7,1,0))</f>
        <v>1</v>
      </c>
    </row>
    <row r="8" customFormat="false" ht="15" hidden="false" customHeight="false" outlineLevel="0" collapsed="false">
      <c r="A8" s="11" t="s">
        <v>795</v>
      </c>
      <c r="B8" s="11" t="s">
        <v>1647</v>
      </c>
      <c r="C8" s="11" t="s">
        <v>240</v>
      </c>
      <c r="D8" s="11" t="s">
        <v>240</v>
      </c>
      <c r="E8" s="11" t="n">
        <f aca="false">IF(D8="","",IF(C8=D8,1,0))</f>
        <v>1</v>
      </c>
      <c r="F8" s="12" t="s">
        <v>240</v>
      </c>
      <c r="G8" s="11" t="n">
        <f aca="false">IF(F8="","",IF(C8=F8,1,0))</f>
        <v>1</v>
      </c>
    </row>
    <row r="9" customFormat="false" ht="15" hidden="false" customHeight="false" outlineLevel="0" collapsed="false">
      <c r="A9" s="11" t="s">
        <v>811</v>
      </c>
      <c r="B9" s="11" t="s">
        <v>1662</v>
      </c>
      <c r="C9" s="11" t="s">
        <v>235</v>
      </c>
      <c r="D9" s="11" t="s">
        <v>235</v>
      </c>
      <c r="E9" s="11" t="n">
        <f aca="false">IF(D9="","",IF(C9=D9,1,0))</f>
        <v>1</v>
      </c>
      <c r="F9" s="12" t="s">
        <v>235</v>
      </c>
      <c r="G9" s="11" t="n">
        <f aca="false">IF(F9="","",IF(C9=F9,1,0))</f>
        <v>1</v>
      </c>
    </row>
    <row r="10" customFormat="false" ht="15" hidden="false" customHeight="false" outlineLevel="0" collapsed="false">
      <c r="A10" s="11" t="s">
        <v>594</v>
      </c>
      <c r="B10" s="11" t="s">
        <v>1609</v>
      </c>
      <c r="C10" s="11" t="s">
        <v>226</v>
      </c>
      <c r="D10" s="11" t="s">
        <v>226</v>
      </c>
      <c r="E10" s="11" t="n">
        <f aca="false">IF(D10="","",IF(C10=D10,1,0))</f>
        <v>1</v>
      </c>
      <c r="F10" s="12" t="s">
        <v>226</v>
      </c>
      <c r="G10" s="11" t="n">
        <f aca="false">IF(F10="","",IF(C10=F10,1,0))</f>
        <v>1</v>
      </c>
    </row>
    <row r="11" customFormat="false" ht="15" hidden="false" customHeight="false" outlineLevel="0" collapsed="false">
      <c r="A11" s="11" t="s">
        <v>634</v>
      </c>
      <c r="B11" s="11" t="s">
        <v>1674</v>
      </c>
      <c r="C11" s="11" t="s">
        <v>637</v>
      </c>
      <c r="D11" s="11" t="s">
        <v>637</v>
      </c>
      <c r="E11" s="11" t="n">
        <f aca="false">IF(D11="","",IF(C11=D11,1,0))</f>
        <v>1</v>
      </c>
      <c r="F11" s="12" t="s">
        <v>637</v>
      </c>
      <c r="G11" s="11" t="n">
        <f aca="false">IF(F11="","",IF(C11=F11,1,0))</f>
        <v>1</v>
      </c>
    </row>
    <row r="12" customFormat="false" ht="15" hidden="false" customHeight="false" outlineLevel="0" collapsed="false">
      <c r="A12" s="11" t="s">
        <v>653</v>
      </c>
      <c r="B12" s="11" t="s">
        <v>1678</v>
      </c>
      <c r="C12" s="11" t="s">
        <v>637</v>
      </c>
      <c r="D12" s="11" t="s">
        <v>235</v>
      </c>
      <c r="E12" s="11" t="n">
        <f aca="false">IF(D12="","",IF(C12=D12,1,0))</f>
        <v>0</v>
      </c>
      <c r="F12" s="12" t="s">
        <v>235</v>
      </c>
      <c r="G12" s="11" t="n">
        <f aca="false">IF(F12="","",IF(C12=F12,1,0))</f>
        <v>0</v>
      </c>
    </row>
    <row r="13" customFormat="false" ht="15" hidden="false" customHeight="false" outlineLevel="0" collapsed="false">
      <c r="A13" s="11" t="s">
        <v>1090</v>
      </c>
      <c r="B13" s="11" t="s">
        <v>1653</v>
      </c>
      <c r="C13" s="11" t="s">
        <v>240</v>
      </c>
      <c r="D13" s="11" t="s">
        <v>240</v>
      </c>
      <c r="E13" s="11" t="n">
        <f aca="false">IF(D13="","",IF(C13=D13,1,0))</f>
        <v>1</v>
      </c>
      <c r="F13" s="12" t="s">
        <v>240</v>
      </c>
      <c r="G13" s="11" t="n">
        <f aca="false">IF(F13="","",IF(C13=F13,1,0))</f>
        <v>1</v>
      </c>
    </row>
    <row r="14" customFormat="false" ht="15" hidden="false" customHeight="false" outlineLevel="0" collapsed="false">
      <c r="A14" s="11" t="s">
        <v>1155</v>
      </c>
      <c r="B14" s="11" t="s">
        <v>1505</v>
      </c>
      <c r="C14" s="11" t="s">
        <v>789</v>
      </c>
      <c r="D14" s="11" t="s">
        <v>789</v>
      </c>
      <c r="E14" s="11" t="n">
        <f aca="false">IF(D14="","",IF(C14=D14,1,0))</f>
        <v>1</v>
      </c>
      <c r="F14" s="12" t="s">
        <v>789</v>
      </c>
      <c r="G14" s="11" t="n">
        <f aca="false">IF(F14="","",IF(C14=F14,1,0))</f>
        <v>1</v>
      </c>
    </row>
    <row r="15" customFormat="false" ht="15" hidden="false" customHeight="false" outlineLevel="0" collapsed="false">
      <c r="A15" s="11" t="s">
        <v>1227</v>
      </c>
      <c r="B15" s="11" t="s">
        <v>1543</v>
      </c>
      <c r="C15" s="11" t="s">
        <v>226</v>
      </c>
      <c r="D15" s="11" t="s">
        <v>226</v>
      </c>
      <c r="E15" s="11" t="n">
        <f aca="false">IF(D15="","",IF(C15=D15,1,0))</f>
        <v>1</v>
      </c>
      <c r="F15" s="12" t="s">
        <v>226</v>
      </c>
      <c r="G15" s="11" t="n">
        <f aca="false">IF(F15="","",IF(C15=F15,1,0))</f>
        <v>1</v>
      </c>
    </row>
    <row r="16" customFormat="false" ht="15" hidden="false" customHeight="false" outlineLevel="0" collapsed="false">
      <c r="A16" s="11" t="s">
        <v>1245</v>
      </c>
      <c r="B16" s="11" t="s">
        <v>1552</v>
      </c>
      <c r="C16" s="11" t="s">
        <v>240</v>
      </c>
      <c r="D16" s="11" t="s">
        <v>240</v>
      </c>
      <c r="E16" s="11" t="n">
        <f aca="false">IF(D16="","",IF(C16=D16,1,0))</f>
        <v>1</v>
      </c>
      <c r="F16" s="12" t="s">
        <v>240</v>
      </c>
      <c r="G16" s="11" t="n">
        <f aca="false">IF(F16="","",IF(C16=F16,1,0))</f>
        <v>1</v>
      </c>
    </row>
    <row r="17" customFormat="false" ht="15" hidden="false" customHeight="false" outlineLevel="0" collapsed="false">
      <c r="A17" s="11" t="s">
        <v>843</v>
      </c>
      <c r="B17" s="11" t="s">
        <v>1556</v>
      </c>
      <c r="C17" s="11" t="s">
        <v>240</v>
      </c>
      <c r="D17" s="11" t="s">
        <v>240</v>
      </c>
      <c r="E17" s="11" t="n">
        <f aca="false">IF(D17="","",IF(C17=D17,1,0))</f>
        <v>1</v>
      </c>
      <c r="F17" s="12" t="s">
        <v>240</v>
      </c>
      <c r="G17" s="11" t="n">
        <f aca="false">IF(F17="","",IF(C17=F17,1,0))</f>
        <v>1</v>
      </c>
    </row>
    <row r="18" customFormat="false" ht="15" hidden="false" customHeight="false" outlineLevel="0" collapsed="false">
      <c r="A18" s="11" t="s">
        <v>1255</v>
      </c>
      <c r="B18" s="11" t="s">
        <v>1558</v>
      </c>
      <c r="C18" s="11" t="s">
        <v>240</v>
      </c>
      <c r="D18" s="11" t="s">
        <v>240</v>
      </c>
      <c r="E18" s="11" t="n">
        <f aca="false">IF(D18="","",IF(C18=D18,1,0))</f>
        <v>1</v>
      </c>
      <c r="F18" s="12" t="s">
        <v>240</v>
      </c>
      <c r="G18" s="11" t="n">
        <f aca="false">IF(F18="","",IF(C18=F18,1,0))</f>
        <v>1</v>
      </c>
    </row>
    <row r="19" customFormat="false" ht="15" hidden="false" customHeight="false" outlineLevel="0" collapsed="false">
      <c r="A19" s="11"/>
      <c r="B19" s="11"/>
      <c r="C19" s="11"/>
      <c r="D19" s="11"/>
      <c r="E19" s="11"/>
      <c r="F19" s="11"/>
      <c r="G19" s="11"/>
    </row>
    <row r="20" customFormat="false" ht="15" hidden="false" customHeight="false" outlineLevel="0" collapsed="false">
      <c r="A20" s="11" t="s">
        <v>1707</v>
      </c>
      <c r="B20" s="11" t="s">
        <v>1708</v>
      </c>
      <c r="C20" s="11" t="s">
        <v>1709</v>
      </c>
      <c r="D20" s="11" t="s">
        <v>1710</v>
      </c>
      <c r="E20" s="11"/>
      <c r="F20" s="11"/>
      <c r="G20" s="11"/>
    </row>
    <row r="21" customFormat="false" ht="15" hidden="false" customHeight="false" outlineLevel="0" collapsed="false">
      <c r="A21" s="11" t="s">
        <v>789</v>
      </c>
      <c r="B21" s="11" t="n">
        <f aca="false">COUNTIF($C$2:$C$18,A21)</f>
        <v>1</v>
      </c>
      <c r="C21" s="11" t="n">
        <f aca="false">COUNTIF($D$2:$D$18,A21)</f>
        <v>1</v>
      </c>
      <c r="D21" s="11" t="n">
        <f aca="false">COUNTIF($F$2:$F$18,A21)</f>
        <v>1</v>
      </c>
      <c r="E21" s="11"/>
      <c r="F21" s="11"/>
      <c r="G21" s="11"/>
    </row>
    <row r="22" customFormat="false" ht="15" hidden="false" customHeight="false" outlineLevel="0" collapsed="false">
      <c r="A22" s="11" t="s">
        <v>616</v>
      </c>
      <c r="B22" s="11" t="n">
        <f aca="false">COUNTIF($C$2:$C$18,A22)</f>
        <v>0</v>
      </c>
      <c r="C22" s="11" t="n">
        <f aca="false">COUNTIF($D$2:$D$18,A22)</f>
        <v>0</v>
      </c>
      <c r="D22" s="11" t="n">
        <f aca="false">COUNTIF($F$2:$F$18,A22)</f>
        <v>0</v>
      </c>
      <c r="E22" s="11"/>
      <c r="F22" s="11"/>
      <c r="G22" s="11"/>
    </row>
    <row r="23" customFormat="false" ht="15" hidden="false" customHeight="false" outlineLevel="0" collapsed="false">
      <c r="A23" s="11" t="s">
        <v>637</v>
      </c>
      <c r="B23" s="11" t="n">
        <f aca="false">COUNTIF($C$2:$C$18,A23)</f>
        <v>3</v>
      </c>
      <c r="C23" s="11" t="n">
        <f aca="false">COUNTIF($D$2:$D$18,A23)</f>
        <v>2</v>
      </c>
      <c r="D23" s="11" t="n">
        <f aca="false">COUNTIF($F$2:$F$18,A23)</f>
        <v>2</v>
      </c>
      <c r="E23" s="11"/>
      <c r="F23" s="11"/>
      <c r="G23" s="11"/>
    </row>
    <row r="24" customFormat="false" ht="15" hidden="false" customHeight="false" outlineLevel="0" collapsed="false">
      <c r="A24" s="11" t="s">
        <v>1028</v>
      </c>
      <c r="B24" s="11" t="n">
        <f aca="false">COUNTIF($C$2:$C$18,A24)</f>
        <v>0</v>
      </c>
      <c r="C24" s="11" t="n">
        <f aca="false">COUNTIF($D$2:$D$18,A24)</f>
        <v>0</v>
      </c>
      <c r="D24" s="11" t="n">
        <f aca="false">COUNTIF($F$2:$F$18,A24)</f>
        <v>0</v>
      </c>
      <c r="E24" s="11"/>
      <c r="F24" s="11"/>
      <c r="G24" s="11"/>
    </row>
    <row r="25" customFormat="false" ht="15" hidden="false" customHeight="false" outlineLevel="0" collapsed="false">
      <c r="A25" s="11" t="s">
        <v>1034</v>
      </c>
      <c r="B25" s="11" t="n">
        <f aca="false">COUNTIF($C$2:$C$18,A25)</f>
        <v>1</v>
      </c>
      <c r="C25" s="11" t="n">
        <f aca="false">COUNTIF($D$2:$D$18,A25)</f>
        <v>1</v>
      </c>
      <c r="D25" s="11" t="n">
        <f aca="false">COUNTIF($F$2:$F$18,A25)</f>
        <v>1</v>
      </c>
      <c r="E25" s="11"/>
      <c r="F25" s="11"/>
      <c r="G25" s="11"/>
    </row>
    <row r="26" customFormat="false" ht="15" hidden="false" customHeight="false" outlineLevel="0" collapsed="false">
      <c r="A26" s="11" t="s">
        <v>235</v>
      </c>
      <c r="B26" s="11" t="n">
        <f aca="false">COUNTIF($C$2:$C$18,A26)</f>
        <v>3</v>
      </c>
      <c r="C26" s="11" t="n">
        <f aca="false">COUNTIF($D$2:$D$18,A26)</f>
        <v>4</v>
      </c>
      <c r="D26" s="11" t="n">
        <f aca="false">COUNTIF($F$2:$F$18,A26)</f>
        <v>4</v>
      </c>
      <c r="E26" s="11"/>
      <c r="F26" s="11"/>
      <c r="G26" s="11"/>
    </row>
    <row r="27" customFormat="false" ht="15" hidden="false" customHeight="false" outlineLevel="0" collapsed="false">
      <c r="A27" s="11" t="s">
        <v>226</v>
      </c>
      <c r="B27" s="11" t="n">
        <f aca="false">COUNTIF($C$2:$C$18,A27)</f>
        <v>4</v>
      </c>
      <c r="C27" s="11" t="n">
        <f aca="false">COUNTIF($D$2:$D$18,A27)</f>
        <v>4</v>
      </c>
      <c r="D27" s="11" t="n">
        <f aca="false">COUNTIF($F$2:$F$18,A27)</f>
        <v>4</v>
      </c>
      <c r="E27" s="11"/>
      <c r="F27" s="11"/>
      <c r="G27" s="11"/>
    </row>
    <row r="28" customFormat="false" ht="15" hidden="false" customHeight="false" outlineLevel="0" collapsed="false">
      <c r="A28" s="11" t="s">
        <v>240</v>
      </c>
      <c r="B28" s="11" t="n">
        <f aca="false">COUNTIF($C$2:$C$18,A28)</f>
        <v>5</v>
      </c>
      <c r="C28" s="11" t="n">
        <f aca="false">COUNTIF($D$2:$D$18,A28)</f>
        <v>5</v>
      </c>
      <c r="D28" s="11" t="n">
        <f aca="false">COUNTIF($F$2:$F$18,A28)</f>
        <v>5</v>
      </c>
      <c r="E28" s="11"/>
      <c r="F28" s="11"/>
      <c r="G28" s="11"/>
    </row>
    <row r="29" customFormat="false" ht="15" hidden="false" customHeight="false" outlineLevel="0" collapsed="false">
      <c r="A29" s="11"/>
      <c r="B29" s="11"/>
      <c r="C29" s="11"/>
      <c r="D29" s="11"/>
      <c r="E29" s="11"/>
      <c r="F29" s="11"/>
      <c r="G29" s="11"/>
    </row>
    <row r="30" customFormat="false" ht="15" hidden="false" customHeight="false" outlineLevel="0" collapsed="false">
      <c r="A30" s="13" t="s">
        <v>1711</v>
      </c>
      <c r="B30" s="11"/>
      <c r="C30" s="11"/>
      <c r="D30" s="11"/>
      <c r="E30" s="11"/>
      <c r="F30" s="11"/>
      <c r="G30" s="11"/>
    </row>
    <row r="31" customFormat="false" ht="15" hidden="false" customHeight="false" outlineLevel="0" collapsed="false">
      <c r="A31" s="13" t="s">
        <v>1712</v>
      </c>
      <c r="B31" s="11" t="n">
        <f aca="false">COUNTA(D2:D18)</f>
        <v>17</v>
      </c>
      <c r="C31" s="11"/>
      <c r="D31" s="11"/>
      <c r="E31" s="11"/>
      <c r="F31" s="11"/>
      <c r="G31" s="11"/>
    </row>
    <row r="32" customFormat="false" ht="15" hidden="false" customHeight="false" outlineLevel="0" collapsed="false">
      <c r="A32" s="13" t="s">
        <v>1713</v>
      </c>
      <c r="B32" s="11" t="n">
        <f aca="false">IF(B31=0,"",SUM(E2:E18)/B31)</f>
        <v>0.941176470588235</v>
      </c>
      <c r="C32" s="11"/>
      <c r="D32" s="11"/>
      <c r="E32" s="11"/>
      <c r="F32" s="11"/>
      <c r="G32" s="11"/>
    </row>
    <row r="33" customFormat="false" ht="15" hidden="false" customHeight="false" outlineLevel="0" collapsed="false">
      <c r="A33" s="13" t="s">
        <v>1714</v>
      </c>
      <c r="B33" s="11" t="n">
        <f aca="false">IF(B31=0,"",SUMPRODUCT(B21:B28,C21:C28)/B31^2)</f>
        <v>0.211072664359862</v>
      </c>
      <c r="C33" s="11"/>
      <c r="D33" s="11"/>
      <c r="E33" s="11"/>
      <c r="F33" s="11"/>
      <c r="G33" s="11"/>
    </row>
    <row r="34" customFormat="false" ht="15" hidden="false" customHeight="false" outlineLevel="0" collapsed="false">
      <c r="A34" s="13" t="s">
        <v>1715</v>
      </c>
      <c r="B34" s="11" t="n">
        <f aca="false">IF(B31&lt;17,"enter all 17 values",IF(B33=1,1,(B32-B33)/(1-B33)))</f>
        <v>0.925438596491228</v>
      </c>
      <c r="C34" s="11"/>
      <c r="D34" s="11"/>
      <c r="E34" s="11"/>
      <c r="F34" s="11"/>
      <c r="G34" s="11"/>
    </row>
    <row r="35" customFormat="false" ht="15" hidden="false" customHeight="false" outlineLevel="0" collapsed="false">
      <c r="A35" s="11"/>
      <c r="B35" s="11"/>
      <c r="C35" s="11"/>
      <c r="D35" s="11"/>
      <c r="E35" s="11"/>
      <c r="F35" s="11"/>
      <c r="G35" s="11"/>
    </row>
    <row r="36" customFormat="false" ht="15" hidden="false" customHeight="false" outlineLevel="0" collapsed="false">
      <c r="A36" s="13" t="s">
        <v>1716</v>
      </c>
      <c r="B36" s="11"/>
      <c r="C36" s="11"/>
      <c r="D36" s="11"/>
      <c r="E36" s="11"/>
      <c r="F36" s="11"/>
      <c r="G36" s="11"/>
    </row>
    <row r="37" customFormat="false" ht="15" hidden="false" customHeight="false" outlineLevel="0" collapsed="false">
      <c r="A37" s="13" t="s">
        <v>1712</v>
      </c>
      <c r="B37" s="11" t="n">
        <f aca="false">COUNTA(F2:F18)</f>
        <v>17</v>
      </c>
      <c r="C37" s="11"/>
      <c r="D37" s="11"/>
      <c r="E37" s="11"/>
      <c r="F37" s="11"/>
      <c r="G37" s="11"/>
    </row>
    <row r="38" customFormat="false" ht="15" hidden="false" customHeight="false" outlineLevel="0" collapsed="false">
      <c r="A38" s="13" t="s">
        <v>1713</v>
      </c>
      <c r="B38" s="11" t="n">
        <f aca="false">IF(B37=0,"",SUM(G2:G18)/B37)</f>
        <v>0.941176470588235</v>
      </c>
      <c r="C38" s="11"/>
      <c r="D38" s="11"/>
      <c r="E38" s="11"/>
      <c r="F38" s="11"/>
      <c r="G38" s="11"/>
    </row>
    <row r="39" customFormat="false" ht="15" hidden="false" customHeight="false" outlineLevel="0" collapsed="false">
      <c r="A39" s="13" t="s">
        <v>1714</v>
      </c>
      <c r="B39" s="11" t="n">
        <f aca="false">IF(B37=0,"",SUMPRODUCT(B21:B28,D21:D28)/B37^2)</f>
        <v>0.211072664359862</v>
      </c>
      <c r="C39" s="11"/>
      <c r="D39" s="11"/>
      <c r="E39" s="11"/>
      <c r="F39" s="11"/>
      <c r="G39" s="11"/>
    </row>
    <row r="40" customFormat="false" ht="15" hidden="false" customHeight="false" outlineLevel="0" collapsed="false">
      <c r="A40" s="13" t="s">
        <v>1715</v>
      </c>
      <c r="B40" s="11" t="n">
        <f aca="false">IF(B37&lt;17,"enter all 17 values",IF(B39=1,1,(B38-B39)/(1-B39)))</f>
        <v>0.925438596491228</v>
      </c>
      <c r="C40" s="11"/>
      <c r="D40" s="11"/>
      <c r="E40" s="11"/>
      <c r="F40" s="11"/>
      <c r="G40" s="11"/>
    </row>
    <row r="41" customFormat="false" ht="15" hidden="false" customHeight="false" outlineLevel="0" collapsed="false">
      <c r="A41" s="11"/>
      <c r="B41" s="11"/>
      <c r="C41" s="11"/>
      <c r="D41" s="11"/>
      <c r="E41" s="11"/>
      <c r="F41" s="11"/>
      <c r="G41" s="11"/>
    </row>
    <row r="42" customFormat="false" ht="15" hidden="false" customHeight="false" outlineLevel="0" collapsed="false">
      <c r="A42" s="7" t="s">
        <v>1717</v>
      </c>
      <c r="B42" s="11"/>
      <c r="C42" s="11"/>
      <c r="D42" s="11"/>
      <c r="E42" s="11"/>
      <c r="F42" s="11"/>
      <c r="G42" s="11"/>
    </row>
    <row r="43" customFormat="false" ht="15" hidden="false" customHeight="false" outlineLevel="0" collapsed="false">
      <c r="A43" s="7" t="s">
        <v>1718</v>
      </c>
      <c r="B43" s="11"/>
      <c r="C43" s="11"/>
      <c r="D43" s="11"/>
      <c r="E43" s="11"/>
      <c r="F43" s="11"/>
      <c r="G43" s="11"/>
    </row>
    <row r="44" customFormat="false" ht="15" hidden="false" customHeight="false" outlineLevel="0" collapsed="false">
      <c r="A44" s="7" t="s">
        <v>1719</v>
      </c>
      <c r="B44" s="11"/>
      <c r="C44" s="11"/>
      <c r="D44" s="11"/>
      <c r="E44" s="11"/>
      <c r="F44" s="11"/>
      <c r="G44" s="11"/>
    </row>
  </sheetData>
  <dataValidations count="1">
    <dataValidation allowBlank="true" errorStyle="stop" operator="between" showDropDown="false" showErrorMessage="false" showInputMessage="false" sqref="D2:D18 F2:F18" type="list">
      <formula1>"T1,T2,T3,T4,T5,T6,T7,T8"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2026-10-28T05:12:07Z</dcterms:created>
  <dc:creator>openpyxl</dc:creator>
  <dc:description/>
  <dc:language>en-US</dc:language>
  <cp:lastModifiedBy/>
  <dcterms:modified xsi:type="dcterms:W3CDTF">2026-10-28T05:12:08Z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